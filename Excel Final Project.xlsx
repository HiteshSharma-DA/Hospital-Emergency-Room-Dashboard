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c00da46646b87702/Desktop/"/>
    </mc:Choice>
  </mc:AlternateContent>
  <xr:revisionPtr revIDLastSave="4" documentId="14_{0FE99E85-CDBA-47EF-9D85-D2FE9DC2DC3C}" xr6:coauthVersionLast="47" xr6:coauthVersionMax="47" xr10:uidLastSave="{34ABBDE8-2265-421E-B2D9-40D2A45FA058}"/>
  <bookViews>
    <workbookView xWindow="-108" yWindow="-108" windowWidth="23256" windowHeight="12456" firstSheet="1" activeTab="1" xr2:uid="{1C47CE86-1C30-4BF8-A90B-DBACF18760CE}"/>
  </bookViews>
  <sheets>
    <sheet name="Pivot Report" sheetId="1" r:id="rId1"/>
    <sheet name="Dashboard" sheetId="2" r:id="rId2"/>
    <sheet name="Daily Trend Analysis of Patient" sheetId="5" r:id="rId3"/>
    <sheet name="Average wait time daily trend" sheetId="4" r:id="rId4"/>
    <sheet name="Satisfaction Score Daily Trend" sheetId="6" r:id="rId5"/>
  </sheets>
  <definedNames>
    <definedName name="Slicer_Date__Month">#N/A</definedName>
    <definedName name="Slicer_Date__Year">#N/A</definedName>
  </definedNames>
  <calcPr calcId="191029"/>
  <pivotCaches>
    <pivotCache cacheId="879" r:id="rId6"/>
    <pivotCache cacheId="882" r:id="rId7"/>
    <pivotCache cacheId="885" r:id="rId8"/>
    <pivotCache cacheId="888" r:id="rId9"/>
    <pivotCache cacheId="891" r:id="rId10"/>
    <pivotCache cacheId="894" r:id="rId11"/>
    <pivotCache cacheId="897" r:id="rId12"/>
    <pivotCache cacheId="900" r:id="rId13"/>
    <pivotCache cacheId="903" r:id="rId14"/>
    <pivotCache cacheId="906" r:id="rId15"/>
    <pivotCache cacheId="909" r:id="rId16"/>
    <pivotCache cacheId="912"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_India_72d7c289-b0f6-482e-af87-1866da37d873" name="Hospital_Emergency_Room_Data_India" connection="Query - Hospital_Emergency_Room_Data_India"/>
          <x15:modelTable id="Calendar_Table_fa9a93be-245e-4490-8cfe-b9d04199ba46" name="Calendar_Table" connection="Query - Calendar_Table"/>
        </x15:modelTables>
        <x15:modelRelationships>
          <x15:modelRelationship fromTable="Hospital_Emergency_Room_Data_Indi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9" i="1" l="1"/>
  <c r="A50" i="1"/>
  <c r="C49" i="1"/>
  <c r="C50" i="1"/>
  <c r="B49" i="1"/>
  <c r="B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1ABDFD-D614-4E5B-AA56-0C5BC3B0DFD7}" name="Query - Calendar_Table" description="Connection to the 'Calendar_Table' query in the workbook." type="100" refreshedVersion="8" minRefreshableVersion="5">
    <extLst>
      <ext xmlns:x15="http://schemas.microsoft.com/office/spreadsheetml/2010/11/main" uri="{DE250136-89BD-433C-8126-D09CA5730AF9}">
        <x15:connection id="9acf2e31-7a60-4dc5-bc36-d98c51171032"/>
      </ext>
    </extLst>
  </connection>
  <connection id="2" xr16:uid="{1C5C4978-791F-4C92-9619-80C970DBDF66}" name="Query - Hospital_Emergency_Room_Data_India" description="Connection to the 'Hospital_Emergency_Room_Data_India' query in the workbook." type="100" refreshedVersion="8" minRefreshableVersion="5">
    <extLst>
      <ext xmlns:x15="http://schemas.microsoft.com/office/spreadsheetml/2010/11/main" uri="{DE250136-89BD-433C-8126-D09CA5730AF9}">
        <x15:connection id="8e396925-0a76-4f13-95a6-4ba63ba5317b"/>
      </ext>
    </extLst>
  </connection>
  <connection id="3" xr16:uid="{DD4796BE-5344-401D-90F2-7FD7CC4D903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<sst xmlns="http://schemas.openxmlformats.org/spreadsheetml/2006/main" count="121" uniqueCount="73">
  <si>
    <t>Distinct Count of Patient Id</t>
  </si>
  <si>
    <t>No. of Patients</t>
  </si>
  <si>
    <t>Average of Patient Waittime</t>
  </si>
  <si>
    <t>Average of Patient Satisfaction Score</t>
  </si>
  <si>
    <t>Row Labels</t>
  </si>
  <si>
    <t>Grand Total</t>
  </si>
  <si>
    <t>Area Graph To Show Daily Trend of Patients</t>
  </si>
  <si>
    <t>Area Graph To Show Average Daily Wait Time of Patients</t>
  </si>
  <si>
    <t>Sum of Patient Satisfaction Score</t>
  </si>
  <si>
    <t>Area Graph To Show Satisfaction Score Daily Trend of Patients</t>
  </si>
  <si>
    <t>Count of Patient Admission Flag</t>
  </si>
  <si>
    <t>Admitted</t>
  </si>
  <si>
    <t>Not-Admitted</t>
  </si>
  <si>
    <t>Count of Patient Admission Flag2</t>
  </si>
  <si>
    <t>Admission Status</t>
  </si>
  <si>
    <t>%Status</t>
  </si>
  <si>
    <t>0-09</t>
  </si>
  <si>
    <t>10-19</t>
  </si>
  <si>
    <t>20-29</t>
  </si>
  <si>
    <t>30-39</t>
  </si>
  <si>
    <t>40-49</t>
  </si>
  <si>
    <t>50-59</t>
  </si>
  <si>
    <t>60-69</t>
  </si>
  <si>
    <t>70-79</t>
  </si>
  <si>
    <t>Count of Age Group</t>
  </si>
  <si>
    <t>age group wise Analysis</t>
  </si>
  <si>
    <t>Count of Patient Id</t>
  </si>
  <si>
    <t>On Time</t>
  </si>
  <si>
    <t>Delay</t>
  </si>
  <si>
    <t>Count of Patient Attend Status</t>
  </si>
  <si>
    <t>Female</t>
  </si>
  <si>
    <t>Male</t>
  </si>
  <si>
    <t>Count of Department Referral</t>
  </si>
  <si>
    <t>Cardiology</t>
  </si>
  <si>
    <t>Gastroenterology</t>
  </si>
  <si>
    <t>General Practice</t>
  </si>
  <si>
    <t>Neurology</t>
  </si>
  <si>
    <t>Orthopedics</t>
  </si>
  <si>
    <t>Physiotherapy</t>
  </si>
  <si>
    <t>Renal</t>
  </si>
  <si>
    <t>None</t>
  </si>
  <si>
    <t>2023</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</si>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</sst>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i/>
      <sz val="22"/>
      <color theme="1"/>
      <name val="Calibri"/>
      <family val="2"/>
      <scheme val="minor"/>
    </font>
    <font>
      <b/>
      <sz val="11"/>
      <color theme="1"/>
      <name val="Calibri"/>
      <family val="2"/>
      <scheme val="minor"/>
    </font>
    <font>
      <sz val="8"/>
      <color theme="1"/>
      <name val="Arial Black"/>
      <family val="2"/>
    </font>
    <font>
      <b/>
      <i/>
      <sz val="11"/>
      <color theme="1"/>
      <name val="Calibri"/>
      <family val="2"/>
      <scheme val="minor"/>
    </font>
    <font>
      <sz val="8"/>
      <color rgb="FF50007B"/>
      <name val="Arial Black"/>
      <family val="2"/>
    </font>
  </fonts>
  <fills count="7">
    <fill>
      <patternFill patternType="none"/>
    </fill>
    <fill>
      <patternFill patternType="gray125"/>
    </fill>
    <fill>
      <patternFill patternType="solid">
        <fgColor theme="1"/>
        <bgColor indexed="64"/>
      </patternFill>
    </fill>
    <fill>
      <patternFill patternType="solid">
        <fgColor theme="8" tint="-0.499984740745262"/>
        <bgColor indexed="64"/>
      </patternFill>
    </fill>
    <fill>
      <patternFill patternType="solid">
        <fgColor theme="5" tint="-0.249977111117893"/>
        <bgColor indexed="64"/>
      </patternFill>
    </fill>
    <fill>
      <patternFill patternType="solid">
        <fgColor theme="5"/>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0" fontId="0" fillId="0" borderId="0" xfId="0" applyNumberFormat="1"/>
    <xf numFmtId="9" fontId="0" fillId="0" borderId="0" xfId="0" applyNumberFormat="1"/>
    <xf numFmtId="0" fontId="5" fillId="6" borderId="0" xfId="0" applyFont="1" applyFill="1" applyAlignment="1">
      <alignment horizontal="center"/>
    </xf>
    <xf numFmtId="0" fontId="3" fillId="6" borderId="0" xfId="0" applyFont="1" applyFill="1" applyAlignment="1">
      <alignment horizontal="center"/>
    </xf>
    <xf numFmtId="0" fontId="5" fillId="6" borderId="0" xfId="0" applyFont="1" applyFill="1"/>
    <xf numFmtId="0" fontId="0" fillId="6" borderId="0" xfId="0" applyFill="1"/>
    <xf numFmtId="0" fontId="2" fillId="6" borderId="0" xfId="0" applyFont="1" applyFill="1" applyAlignment="1">
      <alignment horizontal="center"/>
    </xf>
    <xf numFmtId="0" fontId="4" fillId="6" borderId="0" xfId="0" applyFont="1" applyFill="1" applyAlignment="1">
      <alignment horizontal="center"/>
    </xf>
    <xf numFmtId="10" fontId="4" fillId="6" borderId="0" xfId="0" applyNumberFormat="1" applyFont="1" applyFill="1" applyAlignment="1">
      <alignment horizontal="center"/>
    </xf>
    <xf numFmtId="1" fontId="0" fillId="0" borderId="0" xfId="0" applyNumberFormat="1"/>
    <xf numFmtId="0" fontId="1" fillId="4" borderId="0" xfId="0" applyFont="1" applyFill="1" applyAlignment="1">
      <alignment horizontal="center"/>
    </xf>
    <xf numFmtId="0" fontId="0" fillId="4" borderId="0" xfId="0" applyFill="1" applyAlignment="1">
      <alignment horizontal="center"/>
    </xf>
    <xf numFmtId="0" fontId="1" fillId="5" borderId="0" xfId="0" applyFont="1" applyFill="1" applyAlignment="1">
      <alignment horizontal="center"/>
    </xf>
    <xf numFmtId="0" fontId="0" fillId="5" borderId="0" xfId="0" applyFill="1" applyAlignment="1">
      <alignment horizontal="center"/>
    </xf>
    <xf numFmtId="0" fontId="0" fillId="0" borderId="0" xfId="0" applyNumberFormat="1"/>
  </cellXfs>
  <cellStyles count="1">
    <cellStyle name="Normal" xfId="0" builtinId="0"/>
  </cellStyles>
  <dxfs count="602">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13" formatCode="0%"/>
    </dxf>
    <dxf>
      <numFmt numFmtId="13" formatCode="0%"/>
    </dxf>
    <dxf>
      <numFmt numFmtId="2" formatCode="0.00"/>
    </dxf>
    <dxf>
      <numFmt numFmtId="1" formatCode="0"/>
    </dxf>
    <dxf>
      <numFmt numFmtId="1" formatCode="0"/>
    </dxf>
    <dxf>
      <numFmt numFmtId="1" formatCode="0"/>
    </dxf>
    <dxf>
      <numFmt numFmtId="2" formatCode="0.00"/>
    </dxf>
    <dxf>
      <numFmt numFmtId="14" formatCode="0.00%"/>
    </dxf>
    <dxf>
      <numFmt numFmtId="0" formatCode="General"/>
    </dxf>
    <dxf>
      <numFmt numFmtId="0" formatCode="General"/>
    </dxf>
    <dxf>
      <numFmt numFmtId="2" formatCode="0.00"/>
    </dxf>
    <dxf>
      <numFmt numFmtId="164" formatCode="0.0000000"/>
    </dxf>
    <dxf>
      <numFmt numFmtId="2" formatCode="0.00"/>
    </dxf>
    <dxf>
      <numFmt numFmtId="2" formatCode="0.00"/>
    </dxf>
    <dxf>
      <numFmt numFmtId="2" formatCode="0.00"/>
    </dxf>
    <dxf>
      <numFmt numFmtId="2" formatCode="0.00"/>
    </dxf>
    <dxf>
      <numFmt numFmtId="164" formatCode="0.0000000"/>
    </dxf>
    <dxf>
      <numFmt numFmtId="2" formatCode="0.00"/>
    </dxf>
    <dxf>
      <numFmt numFmtId="2" formatCode="0.00"/>
    </dxf>
    <dxf>
      <numFmt numFmtId="2" formatCode="0.00"/>
    </dxf>
    <dxf>
      <numFmt numFmtId="1" formatCode="0"/>
    </dxf>
    <dxf>
      <numFmt numFmtId="2" formatCode="0.00"/>
    </dxf>
    <dxf>
      <numFmt numFmtId="0" formatCode="General"/>
    </dxf>
    <dxf>
      <numFmt numFmtId="0" formatCode="General"/>
    </dxf>
    <dxf>
      <numFmt numFmtId="14" formatCode="0.00%"/>
    </dxf>
    <dxf>
      <numFmt numFmtId="2" formatCode="0.00"/>
    </dxf>
    <dxf>
      <numFmt numFmtId="1" formatCode="0"/>
    </dxf>
    <dxf>
      <numFmt numFmtId="1" formatCode="0"/>
    </dxf>
    <dxf>
      <numFmt numFmtId="2" formatCode="0.00"/>
    </dxf>
    <dxf>
      <numFmt numFmtId="13" formatCode="0%"/>
    </dxf>
    <dxf>
      <numFmt numFmtId="13" formatCode="0%"/>
    </dxf>
    <dxf>
      <numFmt numFmtId="14" formatCode="0.00%"/>
    </dxf>
    <dxf>
      <numFmt numFmtId="2" formatCode="0.00"/>
    </dxf>
    <dxf>
      <numFmt numFmtId="2" formatCode="0.00"/>
    </dxf>
    <dxf>
      <numFmt numFmtId="1" formatCode="0"/>
    </dxf>
    <dxf>
      <numFmt numFmtId="1" formatCode="0"/>
    </dxf>
    <dxf>
      <numFmt numFmtId="1" formatCode="0"/>
    </dxf>
    <dxf>
      <numFmt numFmtId="2" formatCode="0.00"/>
    </dxf>
    <dxf>
      <font>
        <b/>
        <color theme="1"/>
      </font>
      <border>
        <bottom style="thin">
          <color theme="4"/>
        </bottom>
        <vertical/>
        <horizontal/>
      </border>
    </dxf>
    <dxf>
      <font>
        <b/>
        <i/>
        <sz val="8"/>
        <color theme="1"/>
        <name val="Arial"/>
        <family val="2"/>
        <scheme val="none"/>
      </font>
      <fill>
        <patternFill patternType="solid">
          <bgColor theme="0" tint="-0.499984740745262"/>
        </patternFill>
      </fill>
      <border diagonalUp="0" diagonalDown="0">
        <left/>
        <right/>
        <top/>
        <bottom/>
        <vertical/>
        <horizontal/>
      </border>
    </dxf>
    <dxf>
      <font>
        <b/>
        <color theme="1"/>
      </font>
      <border>
        <bottom style="thin">
          <color theme="4"/>
        </bottom>
        <vertical/>
        <horizontal/>
      </border>
    </dxf>
    <dxf>
      <font>
        <b/>
        <i/>
        <sz val="8"/>
        <color theme="1"/>
        <name val="Arial"/>
        <family val="2"/>
        <scheme val="none"/>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My style" pivot="0" table="0" count="10" xr9:uid="{C52BEBA8-0D6A-4814-A600-EAC8DBACCF9C}">
      <tableStyleElement type="wholeTable" dxfId="601"/>
      <tableStyleElement type="headerRow" dxfId="600"/>
    </tableStyle>
    <tableStyle name="My style 2" pivot="0" table="0" count="10" xr9:uid="{133FA585-F99C-4DCB-AA79-DC5E37604441}">
      <tableStyleElement type="wholeTable" dxfId="599"/>
      <tableStyleElement type="headerRow" dxfId="598"/>
    </tableStyle>
  </tableStyles>
  <colors>
    <mruColors>
      <color rgb="FF00006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Report!PivotTable7</c:name>
    <c:fmtId val="35"/>
  </c:pivotSource>
  <c:chart>
    <c:autoTitleDeleted val="1"/>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a:lstStyle/>
              <a:p>
                <a:fld id="{10786FD4-692E-4230-BC35-3E096400A1E7}" type="CELLRANGE">
                  <a:rPr lang="en-US"/>
                  <a:pPr/>
                  <a:t>[CELLRANGE]</a:t>
                </a:fld>
                <a:r>
                  <a:rPr lang="en-US" baseline="0"/>
                  <a:t>, </a:t>
                </a:r>
                <a:fld id="{64F3BBD3-7A28-459A-A4C4-D2E74A0013C6}"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5A75FD95-8981-4F98-9FCA-C0C9D0FBD171}" type="CELLRANGE">
                  <a:rPr lang="en-US"/>
                  <a:pPr/>
                  <a:t>[CELLRANGE]</a:t>
                </a:fld>
                <a:r>
                  <a:rPr lang="en-US" baseline="0"/>
                  <a:t>, </a:t>
                </a:r>
                <a:fld id="{47A097A3-7C8D-404B-885B-A39F8AA047E8}"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2"/>
          </a:solidFill>
          <a:ln>
            <a:noFill/>
          </a:ln>
          <a:effectLst/>
        </c:spPr>
      </c:pivotFmt>
    </c:pivotFmts>
    <c:plotArea>
      <c:layout>
        <c:manualLayout>
          <c:layoutTarget val="inner"/>
          <c:xMode val="edge"/>
          <c:yMode val="edge"/>
          <c:x val="4.3036083904146136E-2"/>
          <c:y val="0.23645134635948284"/>
          <c:w val="0.949995505698774"/>
          <c:h val="0.76354807921737056"/>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cat>
            <c:strRef>
              <c:f>'Pivot Report'!$A$42:$A$44</c:f>
              <c:strCache>
                <c:ptCount val="2"/>
                <c:pt idx="0">
                  <c:v>Admitted</c:v>
                </c:pt>
                <c:pt idx="1">
                  <c:v>Not-Admitted</c:v>
                </c:pt>
              </c:strCache>
            </c:strRef>
          </c:cat>
          <c:val>
            <c:numRef>
              <c:f>'Pivot Report'!$B$42:$B$44</c:f>
              <c:numCache>
                <c:formatCode>General</c:formatCode>
                <c:ptCount val="2"/>
                <c:pt idx="0">
                  <c:v>229</c:v>
                </c:pt>
                <c:pt idx="1">
                  <c:v>251</c:v>
                </c:pt>
              </c:numCache>
            </c:numRef>
          </c:val>
          <c:extLst>
            <c:ext xmlns:c16="http://schemas.microsoft.com/office/drawing/2014/chart" uri="{C3380CC4-5D6E-409C-BE32-E72D297353CC}">
              <c16:uniqueId val="{00000003-72AA-4707-B23E-F2BD6130095A}"/>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Not-Admitted</c:v>
                </c:pt>
              </c:strCache>
            </c:strRef>
          </c:cat>
          <c:val>
            <c:numRef>
              <c:f>'Pivot Report'!$C$42:$C$44</c:f>
              <c:numCache>
                <c:formatCode>0.00%</c:formatCode>
                <c:ptCount val="2"/>
                <c:pt idx="0">
                  <c:v>0.47708333333333336</c:v>
                </c:pt>
                <c:pt idx="1">
                  <c:v>0.5229166666666667</c:v>
                </c:pt>
              </c:numCache>
            </c:numRef>
          </c:val>
          <c:extLst>
            <c:ext xmlns:c16="http://schemas.microsoft.com/office/drawing/2014/chart" uri="{C3380CC4-5D6E-409C-BE32-E72D297353CC}">
              <c16:uniqueId val="{00000004-72AA-4707-B23E-F2BD6130095A}"/>
            </c:ext>
          </c:extLst>
        </c:ser>
        <c:dLbls>
          <c:showLegendKey val="0"/>
          <c:showVal val="0"/>
          <c:showCatName val="0"/>
          <c:showSerName val="0"/>
          <c:showPercent val="0"/>
          <c:showBubbleSize val="0"/>
        </c:dLbls>
        <c:gapWidth val="0"/>
        <c:axId val="1451631983"/>
        <c:axId val="1451643503"/>
      </c:barChart>
      <c:catAx>
        <c:axId val="1451631983"/>
        <c:scaling>
          <c:orientation val="minMax"/>
        </c:scaling>
        <c:delete val="1"/>
        <c:axPos val="l"/>
        <c:numFmt formatCode="General" sourceLinked="1"/>
        <c:majorTickMark val="none"/>
        <c:minorTickMark val="none"/>
        <c:tickLblPos val="nextTo"/>
        <c:crossAx val="1451643503"/>
        <c:crosses val="autoZero"/>
        <c:auto val="1"/>
        <c:lblAlgn val="ctr"/>
        <c:lblOffset val="100"/>
        <c:noMultiLvlLbl val="0"/>
      </c:catAx>
      <c:valAx>
        <c:axId val="1451643503"/>
        <c:scaling>
          <c:orientation val="minMax"/>
        </c:scaling>
        <c:delete val="1"/>
        <c:axPos val="b"/>
        <c:numFmt formatCode="General" sourceLinked="1"/>
        <c:majorTickMark val="none"/>
        <c:minorTickMark val="none"/>
        <c:tickLblPos val="nextTo"/>
        <c:crossAx val="145163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Report!PivotTable10</c:name>
    <c:fmtId val="65"/>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Patients</a:t>
            </a:r>
            <a:r>
              <a:rPr lang="en-US" b="1" i="1" baseline="0"/>
              <a:t> on Gender Basis</a:t>
            </a:r>
          </a:p>
        </c:rich>
      </c:tx>
      <c:layout>
        <c:manualLayout>
          <c:xMode val="edge"/>
          <c:yMode val="edge"/>
          <c:x val="9.2100262467191621E-2"/>
          <c:y val="0.7375398342893563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666666666666667"/>
              <c:y val="-1.2746972594008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33333333333334"/>
          <c:y val="0.22159507786192117"/>
          <c:w val="0.52968923884514441"/>
          <c:h val="0.50639506581753757"/>
        </c:manualLayout>
      </c:layout>
      <c:doughnutChart>
        <c:varyColors val="1"/>
        <c:ser>
          <c:idx val="0"/>
          <c:order val="0"/>
          <c:tx>
            <c:strRef>
              <c:f>'Pivot Report'!$B$71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10666666666666667"/>
                  <c:y val="0"/>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0666666666666667"/>
                  <c:y val="-1.2746972594008981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Report'!$A$72:$A$74</c:f>
              <c:strCache>
                <c:ptCount val="2"/>
                <c:pt idx="0">
                  <c:v>Female</c:v>
                </c:pt>
                <c:pt idx="1">
                  <c:v>Male</c:v>
                </c:pt>
              </c:strCache>
            </c:strRef>
          </c:cat>
          <c:val>
            <c:numRef>
              <c:f>'Pivot Report'!$B$72:$B$74</c:f>
              <c:numCache>
                <c:formatCode>0</c:formatCode>
                <c:ptCount val="2"/>
                <c:pt idx="0">
                  <c:v>261</c:v>
                </c:pt>
                <c:pt idx="1">
                  <c:v>219</c:v>
                </c:pt>
              </c:numCache>
            </c:numRef>
          </c:val>
          <c:extLst>
            <c:ext xmlns:c16="http://schemas.microsoft.com/office/drawing/2014/chart" uri="{C3380CC4-5D6E-409C-BE32-E72D297353CC}">
              <c16:uniqueId val="{00000005-C01A-4673-9347-9AB8D533BFD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9.6355905511811002E-2"/>
          <c:y val="3.9505578055133153E-3"/>
          <c:w val="0.79697742782152226"/>
          <c:h val="0.215106668071844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337914698363361E-3"/>
          <c:y val="1.3132028221242971E-2"/>
          <c:w val="0.98577741610238212"/>
          <c:h val="0.95147004854481687"/>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2-D95F-459C-80EF-C4C41A7D7C29}"/>
            </c:ext>
          </c:extLst>
        </c:ser>
        <c:dLbls>
          <c:showLegendKey val="0"/>
          <c:showVal val="0"/>
          <c:showCatName val="0"/>
          <c:showSerName val="0"/>
          <c:showPercent val="0"/>
          <c:showBubbleSize val="0"/>
        </c:dLbls>
        <c:axId val="2111437776"/>
        <c:axId val="2111434896"/>
      </c:areaChart>
      <c:catAx>
        <c:axId val="2111437776"/>
        <c:scaling>
          <c:orientation val="minMax"/>
        </c:scaling>
        <c:delete val="1"/>
        <c:axPos val="b"/>
        <c:numFmt formatCode="General" sourceLinked="1"/>
        <c:majorTickMark val="out"/>
        <c:minorTickMark val="none"/>
        <c:tickLblPos val="nextTo"/>
        <c:crossAx val="2111434896"/>
        <c:crosses val="autoZero"/>
        <c:auto val="1"/>
        <c:lblAlgn val="ctr"/>
        <c:lblOffset val="100"/>
        <c:noMultiLvlLbl val="0"/>
      </c:catAx>
      <c:valAx>
        <c:axId val="2111434896"/>
        <c:scaling>
          <c:orientation val="minMax"/>
        </c:scaling>
        <c:delete val="1"/>
        <c:axPos val="l"/>
        <c:numFmt formatCode="General" sourceLinked="1"/>
        <c:majorTickMark val="none"/>
        <c:minorTickMark val="none"/>
        <c:tickLblPos val="nextTo"/>
        <c:crossAx val="211143777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Report'!$I$5:$I$35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2-5BB2-4FA3-AEDC-B4A17086DC62}"/>
            </c:ext>
          </c:extLst>
        </c:ser>
        <c:dLbls>
          <c:showLegendKey val="0"/>
          <c:showVal val="0"/>
          <c:showCatName val="0"/>
          <c:showSerName val="0"/>
          <c:showPercent val="0"/>
          <c:showBubbleSize val="0"/>
        </c:dLbls>
        <c:axId val="97015311"/>
        <c:axId val="97014351"/>
      </c:areaChart>
      <c:catAx>
        <c:axId val="97015311"/>
        <c:scaling>
          <c:orientation val="minMax"/>
        </c:scaling>
        <c:delete val="1"/>
        <c:axPos val="b"/>
        <c:numFmt formatCode="General" sourceLinked="1"/>
        <c:majorTickMark val="out"/>
        <c:minorTickMark val="none"/>
        <c:tickLblPos val="nextTo"/>
        <c:crossAx val="97014351"/>
        <c:crosses val="autoZero"/>
        <c:auto val="1"/>
        <c:lblAlgn val="ctr"/>
        <c:lblOffset val="100"/>
        <c:noMultiLvlLbl val="0"/>
      </c:catAx>
      <c:valAx>
        <c:axId val="97014351"/>
        <c:scaling>
          <c:orientation val="minMax"/>
        </c:scaling>
        <c:delete val="1"/>
        <c:axPos val="l"/>
        <c:numFmt formatCode="0.00" sourceLinked="1"/>
        <c:majorTickMark val="none"/>
        <c:minorTickMark val="none"/>
        <c:tickLblPos val="nextTo"/>
        <c:crossAx val="97015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Report!PivotTable5</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22112442951006E-3"/>
          <c:y val="0"/>
          <c:w val="0.98161793470083758"/>
          <c:h val="0.98860398860398857"/>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Report'!$I$5:$I$35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2-A708-4CE3-B517-1A1C2949F05E}"/>
            </c:ext>
          </c:extLst>
        </c:ser>
        <c:dLbls>
          <c:showLegendKey val="0"/>
          <c:showVal val="0"/>
          <c:showCatName val="0"/>
          <c:showSerName val="0"/>
          <c:showPercent val="0"/>
          <c:showBubbleSize val="0"/>
        </c:dLbls>
        <c:axId val="97015311"/>
        <c:axId val="97014351"/>
      </c:areaChart>
      <c:catAx>
        <c:axId val="97015311"/>
        <c:scaling>
          <c:orientation val="minMax"/>
        </c:scaling>
        <c:delete val="1"/>
        <c:axPos val="b"/>
        <c:numFmt formatCode="General" sourceLinked="1"/>
        <c:majorTickMark val="out"/>
        <c:minorTickMark val="none"/>
        <c:tickLblPos val="nextTo"/>
        <c:crossAx val="97014351"/>
        <c:crosses val="autoZero"/>
        <c:auto val="1"/>
        <c:lblAlgn val="ctr"/>
        <c:lblOffset val="100"/>
        <c:noMultiLvlLbl val="0"/>
      </c:catAx>
      <c:valAx>
        <c:axId val="97014351"/>
        <c:scaling>
          <c:orientation val="minMax"/>
        </c:scaling>
        <c:delete val="1"/>
        <c:axPos val="l"/>
        <c:numFmt formatCode="0.00" sourceLinked="1"/>
        <c:majorTickMark val="none"/>
        <c:minorTickMark val="none"/>
        <c:tickLblPos val="nextTo"/>
        <c:crossAx val="97015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Report!PivotTable8</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2-3065-470B-8019-7431C586ABA4}"/>
            </c:ext>
          </c:extLst>
        </c:ser>
        <c:dLbls>
          <c:dLblPos val="outEnd"/>
          <c:showLegendKey val="0"/>
          <c:showVal val="1"/>
          <c:showCatName val="0"/>
          <c:showSerName val="0"/>
          <c:showPercent val="0"/>
          <c:showBubbleSize val="0"/>
        </c:dLbls>
        <c:gapWidth val="219"/>
        <c:overlap val="-27"/>
        <c:axId val="1462887791"/>
        <c:axId val="1462893071"/>
      </c:barChart>
      <c:catAx>
        <c:axId val="146288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93071"/>
        <c:crosses val="autoZero"/>
        <c:auto val="1"/>
        <c:lblAlgn val="ctr"/>
        <c:lblOffset val="100"/>
        <c:noMultiLvlLbl val="0"/>
      </c:catAx>
      <c:valAx>
        <c:axId val="1462893071"/>
        <c:scaling>
          <c:orientation val="minMax"/>
        </c:scaling>
        <c:delete val="1"/>
        <c:axPos val="l"/>
        <c:numFmt formatCode="0" sourceLinked="1"/>
        <c:majorTickMark val="none"/>
        <c:minorTickMark val="none"/>
        <c:tickLblPos val="nextTo"/>
        <c:crossAx val="146288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Report!PivotTable9</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Patients</a:t>
            </a:r>
            <a:r>
              <a:rPr lang="en-US" b="1" i="1" baseline="0"/>
              <a:t> Attented Within Time</a:t>
            </a:r>
            <a:endParaRPr lang="en-US" b="1" i="1"/>
          </a:p>
        </c:rich>
      </c:tx>
      <c:layout>
        <c:manualLayout>
          <c:xMode val="edge"/>
          <c:yMode val="edge"/>
          <c:x val="0.1276344446305914"/>
          <c:y val="0.7713821138211381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80432233204892"/>
          <c:y val="0.18429549964790984"/>
          <c:w val="0.52981196499373751"/>
          <c:h val="0.56685572839980369"/>
        </c:manualLayout>
      </c:layout>
      <c:pieChart>
        <c:varyColors val="1"/>
        <c:ser>
          <c:idx val="0"/>
          <c:order val="0"/>
          <c:tx>
            <c:strRef>
              <c:f>'Pivot Report'!$B$65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Delay</c:v>
                </c:pt>
                <c:pt idx="1">
                  <c:v>On Time</c:v>
                </c:pt>
              </c:strCache>
            </c:strRef>
          </c:cat>
          <c:val>
            <c:numRef>
              <c:f>'Pivot Report'!$B$66:$B$68</c:f>
              <c:numCache>
                <c:formatCode>0%</c:formatCode>
                <c:ptCount val="2"/>
                <c:pt idx="0">
                  <c:v>0.55625000000000002</c:v>
                </c:pt>
                <c:pt idx="1">
                  <c:v>0.44374999999999998</c:v>
                </c:pt>
              </c:numCache>
            </c:numRef>
          </c:val>
          <c:extLst>
            <c:ext xmlns:c16="http://schemas.microsoft.com/office/drawing/2014/chart" uri="{C3380CC4-5D6E-409C-BE32-E72D297353CC}">
              <c16:uniqueId val="{00000006-DEB9-414A-BD30-3B55946673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7.4307732809994489E-2"/>
          <c:y val="2.9132151164031325E-2"/>
          <c:w val="0.23673583355272079"/>
          <c:h val="0.181014943526266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Report!PivotTable10</c:name>
    <c:fmtId val="67"/>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baseline="0"/>
              <a:t>Gender Wise Analysis</a:t>
            </a:r>
          </a:p>
        </c:rich>
      </c:tx>
      <c:layout>
        <c:manualLayout>
          <c:xMode val="edge"/>
          <c:yMode val="edge"/>
          <c:x val="0.12855848097112862"/>
          <c:y val="0.78651925652150623"/>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0666666666666667"/>
              <c:y val="-1.2746972594008981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666666666666667"/>
              <c:y val="-1.2746972594008981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0.10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0.10666666666666667"/>
              <c:y val="-1.2746972594008981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333333333333334"/>
          <c:y val="0.22159507786192117"/>
          <c:w val="0.52968923884514441"/>
          <c:h val="0.50639506581753757"/>
        </c:manualLayout>
      </c:layout>
      <c:doughnutChart>
        <c:varyColors val="1"/>
        <c:ser>
          <c:idx val="0"/>
          <c:order val="0"/>
          <c:tx>
            <c:strRef>
              <c:f>'Pivot Report'!$B$71</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Lbls>
            <c:dLbl>
              <c:idx val="0"/>
              <c:layout>
                <c:manualLayout>
                  <c:x val="-0.10666666666666667"/>
                  <c:y val="0"/>
                </c:manualLayout>
              </c:layout>
              <c:showLegendKey val="0"/>
              <c:showVal val="0"/>
              <c:showCatName val="0"/>
              <c:showSerName val="0"/>
              <c:showPercent val="1"/>
              <c:showBubbleSize val="0"/>
              <c:extLst>
                <c:ext xmlns:c15="http://schemas.microsoft.com/office/drawing/2012/chart" uri="{CE6537A1-D6FC-4f65-9D91-7224C49458BB}"/>
              </c:extLst>
            </c:dLbl>
            <c:dLbl>
              <c:idx val="1"/>
              <c:layout>
                <c:manualLayout>
                  <c:x val="0.10666666666666667"/>
                  <c:y val="-1.2746972594008981E-2"/>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Female</c:v>
                </c:pt>
                <c:pt idx="1">
                  <c:v>Male</c:v>
                </c:pt>
              </c:strCache>
            </c:strRef>
          </c:cat>
          <c:val>
            <c:numRef>
              <c:f>'Pivot Report'!$B$72:$B$74</c:f>
              <c:numCache>
                <c:formatCode>0</c:formatCode>
                <c:ptCount val="2"/>
                <c:pt idx="0">
                  <c:v>261</c:v>
                </c:pt>
                <c:pt idx="1">
                  <c:v>219</c:v>
                </c:pt>
              </c:numCache>
            </c:numRef>
          </c:val>
          <c:extLst>
            <c:ext xmlns:c16="http://schemas.microsoft.com/office/drawing/2014/chart" uri="{C3380CC4-5D6E-409C-BE32-E72D297353CC}">
              <c16:uniqueId val="{00000006-0393-474C-94E8-6CC12FEE917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8.5694717847769095E-2"/>
          <c:y val="5.4666023889870949E-2"/>
          <c:w val="0.22159694881889763"/>
          <c:h val="0.181746021650363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Report!PivotTable11</c:name>
    <c:fmtId val="80"/>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No</a:t>
            </a:r>
            <a:r>
              <a:rPr lang="en-US" b="1" i="1" baseline="0"/>
              <a:t>. of Patients</a:t>
            </a:r>
          </a:p>
          <a:p>
            <a:pPr>
              <a:defRPr b="1" i="1"/>
            </a:pPr>
            <a:r>
              <a:rPr lang="en-US" b="1" i="1" baseline="0"/>
              <a:t> by </a:t>
            </a:r>
          </a:p>
          <a:p>
            <a:pPr>
              <a:defRPr b="1" i="1"/>
            </a:pPr>
            <a:r>
              <a:rPr lang="en-US" b="1" i="1" baseline="0"/>
              <a:t>Department Referal</a:t>
            </a:r>
            <a:endParaRPr lang="en-US" b="1" i="1"/>
          </a:p>
        </c:rich>
      </c:tx>
      <c:layout>
        <c:manualLayout>
          <c:xMode val="edge"/>
          <c:yMode val="edge"/>
          <c:x val="0.58830509225746408"/>
          <c:y val="0.5383555953512845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914198342468"/>
          <c:y val="6.0821256038647346E-2"/>
          <c:w val="0.81120858016575326"/>
          <c:h val="0.86188405797101453"/>
        </c:manualLayout>
      </c:layout>
      <c:barChart>
        <c:barDir val="bar"/>
        <c:grouping val="clustered"/>
        <c:varyColors val="0"/>
        <c:ser>
          <c:idx val="0"/>
          <c:order val="0"/>
          <c:tx>
            <c:strRef>
              <c:f>'Pivot Report'!$B$77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Report'!$A$78:$A$86</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Report'!$B$78:$B$86</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2-8173-4157-B3AD-8C52F3C7164F}"/>
            </c:ext>
          </c:extLst>
        </c:ser>
        <c:dLbls>
          <c:dLblPos val="outEnd"/>
          <c:showLegendKey val="0"/>
          <c:showVal val="1"/>
          <c:showCatName val="0"/>
          <c:showSerName val="0"/>
          <c:showPercent val="0"/>
          <c:showBubbleSize val="0"/>
        </c:dLbls>
        <c:gapWidth val="40"/>
        <c:overlap val="-77"/>
        <c:axId val="1462918991"/>
        <c:axId val="1462944911"/>
      </c:barChart>
      <c:catAx>
        <c:axId val="14629189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462944911"/>
        <c:crosses val="autoZero"/>
        <c:auto val="1"/>
        <c:lblAlgn val="ctr"/>
        <c:lblOffset val="100"/>
        <c:noMultiLvlLbl val="0"/>
      </c:catAx>
      <c:valAx>
        <c:axId val="1462944911"/>
        <c:scaling>
          <c:orientation val="minMax"/>
        </c:scaling>
        <c:delete val="1"/>
        <c:axPos val="b"/>
        <c:numFmt formatCode="0" sourceLinked="1"/>
        <c:majorTickMark val="out"/>
        <c:minorTickMark val="none"/>
        <c:tickLblPos val="nextTo"/>
        <c:crossAx val="146291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Report!PivotTable4</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05940973354663E-2"/>
          <c:y val="2.4880551945569911E-2"/>
          <c:w val="0.98577741610238212"/>
          <c:h val="0.8424358754221144"/>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2-13F1-459B-B276-B89A19A5B18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11437776"/>
        <c:axId val="2111434896"/>
      </c:areaChart>
      <c:catAx>
        <c:axId val="21114377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11434896"/>
        <c:crosses val="autoZero"/>
        <c:auto val="1"/>
        <c:lblAlgn val="ctr"/>
        <c:lblOffset val="100"/>
        <c:noMultiLvlLbl val="0"/>
      </c:catAx>
      <c:valAx>
        <c:axId val="2111434896"/>
        <c:scaling>
          <c:orientation val="minMax"/>
        </c:scaling>
        <c:delete val="1"/>
        <c:axPos val="l"/>
        <c:numFmt formatCode="General" sourceLinked="1"/>
        <c:majorTickMark val="out"/>
        <c:minorTickMark val="none"/>
        <c:tickLblPos val="nextTo"/>
        <c:crossAx val="2111437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Report!PivotTable5</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55421738270494E-2"/>
          <c:y val="0"/>
          <c:w val="1"/>
          <c:h val="1"/>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Report'!$I$5:$I$35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2-C26C-4EBB-8FCD-CDC4ED15228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7015311"/>
        <c:axId val="97014351"/>
      </c:areaChart>
      <c:catAx>
        <c:axId val="97015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7014351"/>
        <c:crosses val="autoZero"/>
        <c:auto val="1"/>
        <c:lblAlgn val="ctr"/>
        <c:lblOffset val="100"/>
        <c:noMultiLvlLbl val="0"/>
      </c:catAx>
      <c:valAx>
        <c:axId val="97014351"/>
        <c:scaling>
          <c:orientation val="minMax"/>
        </c:scaling>
        <c:delete val="1"/>
        <c:axPos val="l"/>
        <c:numFmt formatCode="0.00" sourceLinked="1"/>
        <c:majorTickMark val="out"/>
        <c:minorTickMark val="none"/>
        <c:tickLblPos val="nextTo"/>
        <c:crossAx val="97015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Report!PivotTable5</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55421738270494E-2"/>
          <c:y val="0"/>
          <c:w val="1"/>
          <c:h val="1"/>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Report'!$I$5:$I$35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1-8472-4223-8A18-4494B3F659F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7015311"/>
        <c:axId val="97014351"/>
      </c:areaChart>
      <c:catAx>
        <c:axId val="97015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7014351"/>
        <c:crosses val="autoZero"/>
        <c:auto val="1"/>
        <c:lblAlgn val="ctr"/>
        <c:lblOffset val="100"/>
        <c:noMultiLvlLbl val="0"/>
      </c:catAx>
      <c:valAx>
        <c:axId val="97014351"/>
        <c:scaling>
          <c:orientation val="minMax"/>
        </c:scaling>
        <c:delete val="1"/>
        <c:axPos val="l"/>
        <c:numFmt formatCode="0.00" sourceLinked="1"/>
        <c:majorTickMark val="out"/>
        <c:minorTickMark val="none"/>
        <c:tickLblPos val="nextTo"/>
        <c:crossAx val="97015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hyperlink" Target="#'Average wait time daily trend'!A1"/><Relationship Id="rId12" Type="http://schemas.openxmlformats.org/officeDocument/2006/relationships/image" Target="../media/image5.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6.xml"/><Relationship Id="rId5" Type="http://schemas.openxmlformats.org/officeDocument/2006/relationships/hyperlink" Target="#'Daily Trend Analysis of Patient'!A1"/><Relationship Id="rId15" Type="http://schemas.openxmlformats.org/officeDocument/2006/relationships/chart" Target="../charts/chart9.xml"/><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hyperlink" Target="#'Satisfaction Score Daily Trend'!A1"/><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2</xdr:col>
      <xdr:colOff>502920</xdr:colOff>
      <xdr:row>47</xdr:row>
      <xdr:rowOff>137160</xdr:rowOff>
    </xdr:from>
    <xdr:to>
      <xdr:col>4</xdr:col>
      <xdr:colOff>15240</xdr:colOff>
      <xdr:row>50</xdr:row>
      <xdr:rowOff>0</xdr:rowOff>
    </xdr:to>
    <xdr:graphicFrame macro="">
      <xdr:nvGraphicFramePr>
        <xdr:cNvPr id="4" name="Chart 3">
          <a:extLst>
            <a:ext uri="{FF2B5EF4-FFF2-40B4-BE49-F238E27FC236}">
              <a16:creationId xmlns:a16="http://schemas.microsoft.com/office/drawing/2014/main" id="{C428E513-9096-5DD1-B702-81699B463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678180</xdr:colOff>
      <xdr:row>56</xdr:row>
      <xdr:rowOff>3810</xdr:rowOff>
    </xdr:from>
    <xdr:to>
      <xdr:col>6</xdr:col>
      <xdr:colOff>472440</xdr:colOff>
      <xdr:row>66</xdr:row>
      <xdr:rowOff>167640</xdr:rowOff>
    </xdr:to>
    <xdr:graphicFrame macro="">
      <xdr:nvGraphicFramePr>
        <xdr:cNvPr id="8" name="Chart 7">
          <a:extLst>
            <a:ext uri="{FF2B5EF4-FFF2-40B4-BE49-F238E27FC236}">
              <a16:creationId xmlns:a16="http://schemas.microsoft.com/office/drawing/2014/main" id="{FE780E70-681D-5B45-094C-C0F97CDF4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38100</xdr:colOff>
      <xdr:row>81</xdr:row>
      <xdr:rowOff>22861</xdr:rowOff>
    </xdr:from>
    <xdr:to>
      <xdr:col>7</xdr:col>
      <xdr:colOff>708660</xdr:colOff>
      <xdr:row>83</xdr:row>
      <xdr:rowOff>22860</xdr:rowOff>
    </xdr:to>
    <mc:AlternateContent xmlns:mc="http://schemas.openxmlformats.org/markup-compatibility/2006" xmlns:a14="http://schemas.microsoft.com/office/drawing/2010/main">
      <mc:Choice Requires="a14">
        <xdr:graphicFrame macro="">
          <xdr:nvGraphicFramePr>
            <xdr:cNvPr id="11" name="Date (Year)">
              <a:extLst>
                <a:ext uri="{FF2B5EF4-FFF2-40B4-BE49-F238E27FC236}">
                  <a16:creationId xmlns:a16="http://schemas.microsoft.com/office/drawing/2014/main" id="{0D60135E-A182-FDC3-64C2-A5B71C724C0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225540" y="14836141"/>
              <a:ext cx="1889760" cy="365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76200</xdr:colOff>
      <xdr:row>0</xdr:row>
      <xdr:rowOff>53340</xdr:rowOff>
    </xdr:from>
    <xdr:to>
      <xdr:col>12</xdr:col>
      <xdr:colOff>133350</xdr:colOff>
      <xdr:row>4</xdr:row>
      <xdr:rowOff>175260</xdr:rowOff>
    </xdr:to>
    <xdr:sp macro="" textlink="">
      <xdr:nvSpPr>
        <xdr:cNvPr id="2" name="Rectangle: Rounded Corners 1">
          <a:extLst>
            <a:ext uri="{FF2B5EF4-FFF2-40B4-BE49-F238E27FC236}">
              <a16:creationId xmlns:a16="http://schemas.microsoft.com/office/drawing/2014/main" id="{6C47780A-8E0A-B36F-F788-BBB006F7CF7E}"/>
            </a:ext>
          </a:extLst>
        </xdr:cNvPr>
        <xdr:cNvSpPr/>
      </xdr:nvSpPr>
      <xdr:spPr>
        <a:xfrm>
          <a:off x="76200" y="53340"/>
          <a:ext cx="7372350" cy="845820"/>
        </a:xfrm>
        <a:prstGeom prst="roundRect">
          <a:avLst>
            <a:gd name="adj" fmla="val 8036"/>
          </a:avLst>
        </a:prstGeom>
        <a:solidFill>
          <a:schemeClr val="accent1">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129540</xdr:colOff>
      <xdr:row>0</xdr:row>
      <xdr:rowOff>76201</xdr:rowOff>
    </xdr:from>
    <xdr:to>
      <xdr:col>12</xdr:col>
      <xdr:colOff>142875</xdr:colOff>
      <xdr:row>4</xdr:row>
      <xdr:rowOff>152401</xdr:rowOff>
    </xdr:to>
    <xdr:sp macro="" textlink="">
      <xdr:nvSpPr>
        <xdr:cNvPr id="11" name="Rectangle: Rounded Corners 10">
          <a:extLst>
            <a:ext uri="{FF2B5EF4-FFF2-40B4-BE49-F238E27FC236}">
              <a16:creationId xmlns:a16="http://schemas.microsoft.com/office/drawing/2014/main" id="{31DF783C-B80B-7820-13C3-4C875EE6CD27}"/>
            </a:ext>
          </a:extLst>
        </xdr:cNvPr>
        <xdr:cNvSpPr/>
      </xdr:nvSpPr>
      <xdr:spPr>
        <a:xfrm>
          <a:off x="5006340" y="76201"/>
          <a:ext cx="2451735" cy="800100"/>
        </a:xfrm>
        <a:prstGeom prst="roundRect">
          <a:avLst>
            <a:gd name="adj" fmla="val 8929"/>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38100</xdr:colOff>
      <xdr:row>9</xdr:row>
      <xdr:rowOff>66675</xdr:rowOff>
    </xdr:from>
    <xdr:to>
      <xdr:col>1</xdr:col>
      <xdr:colOff>361950</xdr:colOff>
      <xdr:row>29</xdr:row>
      <xdr:rowOff>152404</xdr:rowOff>
    </xdr:to>
    <xdr:sp macro="" textlink="">
      <xdr:nvSpPr>
        <xdr:cNvPr id="14" name="Rectangle: Rounded Corners 13">
          <a:extLst>
            <a:ext uri="{FF2B5EF4-FFF2-40B4-BE49-F238E27FC236}">
              <a16:creationId xmlns:a16="http://schemas.microsoft.com/office/drawing/2014/main" id="{8431E589-CDE7-32D8-A357-458BFB695396}"/>
            </a:ext>
          </a:extLst>
        </xdr:cNvPr>
        <xdr:cNvSpPr/>
      </xdr:nvSpPr>
      <xdr:spPr>
        <a:xfrm rot="5400000">
          <a:off x="-1343027" y="3076577"/>
          <a:ext cx="3695704" cy="933450"/>
        </a:xfrm>
        <a:prstGeom prst="roundRect">
          <a:avLst>
            <a:gd name="adj" fmla="val 8929"/>
          </a:avLst>
        </a:prstGeom>
        <a:solidFill>
          <a:schemeClr val="accent1">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533401</xdr:colOff>
      <xdr:row>5</xdr:row>
      <xdr:rowOff>76201</xdr:rowOff>
    </xdr:from>
    <xdr:to>
      <xdr:col>5</xdr:col>
      <xdr:colOff>30481</xdr:colOff>
      <xdr:row>12</xdr:row>
      <xdr:rowOff>161926</xdr:rowOff>
    </xdr:to>
    <xdr:sp macro="" textlink="">
      <xdr:nvSpPr>
        <xdr:cNvPr id="16" name="Rectangle: Rounded Corners 15">
          <a:extLst>
            <a:ext uri="{FF2B5EF4-FFF2-40B4-BE49-F238E27FC236}">
              <a16:creationId xmlns:a16="http://schemas.microsoft.com/office/drawing/2014/main" id="{45C3AD79-791A-D7AF-2348-7F1D591B3250}"/>
            </a:ext>
          </a:extLst>
        </xdr:cNvPr>
        <xdr:cNvSpPr/>
      </xdr:nvSpPr>
      <xdr:spPr>
        <a:xfrm>
          <a:off x="1143001" y="981076"/>
          <a:ext cx="1935480" cy="1352550"/>
        </a:xfrm>
        <a:prstGeom prst="roundRect">
          <a:avLst>
            <a:gd name="adj" fmla="val 0"/>
          </a:avLst>
        </a:prstGeom>
        <a:solidFill>
          <a:schemeClr val="accent1">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194310</xdr:colOff>
      <xdr:row>5</xdr:row>
      <xdr:rowOff>78104</xdr:rowOff>
    </xdr:from>
    <xdr:to>
      <xdr:col>8</xdr:col>
      <xdr:colOff>396969</xdr:colOff>
      <xdr:row>12</xdr:row>
      <xdr:rowOff>180974</xdr:rowOff>
    </xdr:to>
    <xdr:sp macro="" textlink="">
      <xdr:nvSpPr>
        <xdr:cNvPr id="17" name="Rectangle: Rounded Corners 16">
          <a:extLst>
            <a:ext uri="{FF2B5EF4-FFF2-40B4-BE49-F238E27FC236}">
              <a16:creationId xmlns:a16="http://schemas.microsoft.com/office/drawing/2014/main" id="{BD30B52A-2A8B-C2D7-1E87-9B88917FC9AD}"/>
            </a:ext>
          </a:extLst>
        </xdr:cNvPr>
        <xdr:cNvSpPr/>
      </xdr:nvSpPr>
      <xdr:spPr>
        <a:xfrm>
          <a:off x="3242310" y="982979"/>
          <a:ext cx="2031459" cy="1369695"/>
        </a:xfrm>
        <a:prstGeom prst="roundRect">
          <a:avLst>
            <a:gd name="adj" fmla="val 0"/>
          </a:avLst>
        </a:prstGeom>
        <a:solidFill>
          <a:schemeClr val="accent1">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497206</xdr:colOff>
      <xdr:row>5</xdr:row>
      <xdr:rowOff>62865</xdr:rowOff>
    </xdr:from>
    <xdr:to>
      <xdr:col>12</xdr:col>
      <xdr:colOff>146686</xdr:colOff>
      <xdr:row>12</xdr:row>
      <xdr:rowOff>156210</xdr:rowOff>
    </xdr:to>
    <xdr:sp macro="" textlink="">
      <xdr:nvSpPr>
        <xdr:cNvPr id="18" name="Rectangle: Rounded Corners 17">
          <a:extLst>
            <a:ext uri="{FF2B5EF4-FFF2-40B4-BE49-F238E27FC236}">
              <a16:creationId xmlns:a16="http://schemas.microsoft.com/office/drawing/2014/main" id="{53737A3D-331E-18CD-CB67-655196AAC60E}"/>
            </a:ext>
          </a:extLst>
        </xdr:cNvPr>
        <xdr:cNvSpPr/>
      </xdr:nvSpPr>
      <xdr:spPr>
        <a:xfrm>
          <a:off x="5374006" y="967740"/>
          <a:ext cx="2087880" cy="1360170"/>
        </a:xfrm>
        <a:prstGeom prst="roundRect">
          <a:avLst>
            <a:gd name="adj" fmla="val 0"/>
          </a:avLst>
        </a:prstGeom>
        <a:solidFill>
          <a:schemeClr val="accent1">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485774</xdr:colOff>
      <xdr:row>18</xdr:row>
      <xdr:rowOff>142873</xdr:rowOff>
    </xdr:from>
    <xdr:to>
      <xdr:col>12</xdr:col>
      <xdr:colOff>110486</xdr:colOff>
      <xdr:row>29</xdr:row>
      <xdr:rowOff>47623</xdr:rowOff>
    </xdr:to>
    <xdr:sp macro="" textlink="">
      <xdr:nvSpPr>
        <xdr:cNvPr id="21" name="Rectangle: Rounded Corners 20">
          <a:extLst>
            <a:ext uri="{FF2B5EF4-FFF2-40B4-BE49-F238E27FC236}">
              <a16:creationId xmlns:a16="http://schemas.microsoft.com/office/drawing/2014/main" id="{633C701C-E444-0FDB-6B47-75E9F3A0A6F4}"/>
            </a:ext>
          </a:extLst>
        </xdr:cNvPr>
        <xdr:cNvSpPr/>
      </xdr:nvSpPr>
      <xdr:spPr>
        <a:xfrm rot="10800000">
          <a:off x="1095374" y="3390898"/>
          <a:ext cx="6330312" cy="1895475"/>
        </a:xfrm>
        <a:prstGeom prst="roundRect">
          <a:avLst>
            <a:gd name="adj" fmla="val 8929"/>
          </a:avLst>
        </a:prstGeom>
        <a:solidFill>
          <a:schemeClr val="accent1">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210820</xdr:colOff>
      <xdr:row>14</xdr:row>
      <xdr:rowOff>138640</xdr:rowOff>
    </xdr:from>
    <xdr:to>
      <xdr:col>20</xdr:col>
      <xdr:colOff>403225</xdr:colOff>
      <xdr:row>29</xdr:row>
      <xdr:rowOff>59265</xdr:rowOff>
    </xdr:to>
    <xdr:sp macro="" textlink="">
      <xdr:nvSpPr>
        <xdr:cNvPr id="32" name="Rectangle: Rounded Corners 31">
          <a:extLst>
            <a:ext uri="{FF2B5EF4-FFF2-40B4-BE49-F238E27FC236}">
              <a16:creationId xmlns:a16="http://schemas.microsoft.com/office/drawing/2014/main" id="{EA80E38A-46FA-5775-496D-56D74999BA1D}"/>
            </a:ext>
          </a:extLst>
        </xdr:cNvPr>
        <xdr:cNvSpPr/>
      </xdr:nvSpPr>
      <xdr:spPr>
        <a:xfrm>
          <a:off x="7526020" y="2737907"/>
          <a:ext cx="5069205" cy="2714625"/>
        </a:xfrm>
        <a:prstGeom prst="roundRect">
          <a:avLst>
            <a:gd name="adj" fmla="val 10855"/>
          </a:avLst>
        </a:prstGeom>
        <a:solidFill>
          <a:schemeClr val="accent1">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561975</xdr:colOff>
      <xdr:row>0</xdr:row>
      <xdr:rowOff>133350</xdr:rowOff>
    </xdr:from>
    <xdr:to>
      <xdr:col>12</xdr:col>
      <xdr:colOff>142875</xdr:colOff>
      <xdr:row>2</xdr:row>
      <xdr:rowOff>102870</xdr:rowOff>
    </xdr:to>
    <xdr:sp macro="" textlink="">
      <xdr:nvSpPr>
        <xdr:cNvPr id="33" name="TextBox 32">
          <a:extLst>
            <a:ext uri="{FF2B5EF4-FFF2-40B4-BE49-F238E27FC236}">
              <a16:creationId xmlns:a16="http://schemas.microsoft.com/office/drawing/2014/main" id="{A9566D6F-1D5D-FE4D-451F-C14EDA1D0D31}"/>
            </a:ext>
          </a:extLst>
        </xdr:cNvPr>
        <xdr:cNvSpPr txBox="1"/>
      </xdr:nvSpPr>
      <xdr:spPr>
        <a:xfrm>
          <a:off x="561975" y="133350"/>
          <a:ext cx="6896100" cy="33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solidFill>
                <a:srgbClr val="002060"/>
              </a:solidFill>
              <a:latin typeface="Arial Black" panose="020B0A04020102020204" pitchFamily="34" charset="0"/>
            </a:rPr>
            <a:t>                    Hospital Emergency Room Dashboard</a:t>
          </a:r>
          <a:r>
            <a:rPr lang="en-IN" sz="1600"/>
            <a:t> </a:t>
          </a:r>
          <a:r>
            <a:rPr lang="en-IN" sz="1600">
              <a:noFill/>
            </a:rPr>
            <a:t>Dashboard</a:t>
          </a:r>
        </a:p>
        <a:p>
          <a:endParaRPr lang="en-IN" sz="2000"/>
        </a:p>
      </xdr:txBody>
    </xdr:sp>
    <xdr:clientData/>
  </xdr:twoCellAnchor>
  <xdr:twoCellAnchor editAs="oneCell">
    <xdr:from>
      <xdr:col>0</xdr:col>
      <xdr:colOff>104775</xdr:colOff>
      <xdr:row>0</xdr:row>
      <xdr:rowOff>0</xdr:rowOff>
    </xdr:from>
    <xdr:to>
      <xdr:col>2</xdr:col>
      <xdr:colOff>504825</xdr:colOff>
      <xdr:row>5</xdr:row>
      <xdr:rowOff>22860</xdr:rowOff>
    </xdr:to>
    <xdr:pic>
      <xdr:nvPicPr>
        <xdr:cNvPr id="35" name="Picture 34">
          <a:extLst>
            <a:ext uri="{FF2B5EF4-FFF2-40B4-BE49-F238E27FC236}">
              <a16:creationId xmlns:a16="http://schemas.microsoft.com/office/drawing/2014/main" id="{DF1A446D-BC1E-6A95-0AA6-590F4EB4C6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 y="0"/>
          <a:ext cx="1619250" cy="927735"/>
        </a:xfrm>
        <a:prstGeom prst="rect">
          <a:avLst/>
        </a:prstGeom>
      </xdr:spPr>
    </xdr:pic>
    <xdr:clientData/>
  </xdr:twoCellAnchor>
  <xdr:twoCellAnchor>
    <xdr:from>
      <xdr:col>2</xdr:col>
      <xdr:colOff>462914</xdr:colOff>
      <xdr:row>2</xdr:row>
      <xdr:rowOff>142875</xdr:rowOff>
    </xdr:from>
    <xdr:to>
      <xdr:col>10</xdr:col>
      <xdr:colOff>190499</xdr:colOff>
      <xdr:row>4</xdr:row>
      <xdr:rowOff>161925</xdr:rowOff>
    </xdr:to>
    <xdr:sp macro="" textlink="">
      <xdr:nvSpPr>
        <xdr:cNvPr id="37" name="TextBox 36">
          <a:extLst>
            <a:ext uri="{FF2B5EF4-FFF2-40B4-BE49-F238E27FC236}">
              <a16:creationId xmlns:a16="http://schemas.microsoft.com/office/drawing/2014/main" id="{DBAA4566-0973-EDB4-AE5C-5A7F8753E9A1}"/>
            </a:ext>
          </a:extLst>
        </xdr:cNvPr>
        <xdr:cNvSpPr txBox="1"/>
      </xdr:nvSpPr>
      <xdr:spPr>
        <a:xfrm>
          <a:off x="1682114" y="504825"/>
          <a:ext cx="460438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solidFill>
                <a:srgbClr val="002060"/>
              </a:solidFill>
              <a:latin typeface="Arial Black" panose="020B0A04020102020204" pitchFamily="34" charset="0"/>
            </a:rPr>
            <a:t>                      Monthly</a:t>
          </a:r>
          <a:r>
            <a:rPr lang="en-IN" sz="1600" baseline="0">
              <a:solidFill>
                <a:srgbClr val="002060"/>
              </a:solidFill>
              <a:latin typeface="Arial Black" panose="020B0A04020102020204" pitchFamily="34" charset="0"/>
            </a:rPr>
            <a:t> Report</a:t>
          </a:r>
          <a:r>
            <a:rPr lang="en-IN" sz="1600"/>
            <a:t> </a:t>
          </a:r>
          <a:r>
            <a:rPr lang="en-IN" sz="1600">
              <a:noFill/>
            </a:rPr>
            <a:t>Dashboard</a:t>
          </a:r>
        </a:p>
        <a:p>
          <a:endParaRPr lang="en-IN" sz="2000"/>
        </a:p>
      </xdr:txBody>
    </xdr:sp>
    <xdr:clientData/>
  </xdr:twoCellAnchor>
  <xdr:twoCellAnchor>
    <xdr:from>
      <xdr:col>1</xdr:col>
      <xdr:colOff>464820</xdr:colOff>
      <xdr:row>8</xdr:row>
      <xdr:rowOff>97155</xdr:rowOff>
    </xdr:from>
    <xdr:to>
      <xdr:col>3</xdr:col>
      <xdr:colOff>426720</xdr:colOff>
      <xdr:row>10</xdr:row>
      <xdr:rowOff>43815</xdr:rowOff>
    </xdr:to>
    <xdr:sp macro="" textlink="">
      <xdr:nvSpPr>
        <xdr:cNvPr id="39" name="TextBox 38">
          <a:extLst>
            <a:ext uri="{FF2B5EF4-FFF2-40B4-BE49-F238E27FC236}">
              <a16:creationId xmlns:a16="http://schemas.microsoft.com/office/drawing/2014/main" id="{EF1C37DF-EFFB-9066-D42C-7A753EC8E688}"/>
            </a:ext>
          </a:extLst>
        </xdr:cNvPr>
        <xdr:cNvSpPr txBox="1"/>
      </xdr:nvSpPr>
      <xdr:spPr>
        <a:xfrm>
          <a:off x="1074420" y="1544955"/>
          <a:ext cx="118110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solidFill>
                <a:srgbClr val="002060"/>
              </a:solidFill>
              <a:latin typeface="+mn-lt"/>
              <a:ea typeface="Arial Unicode MS" panose="020B0604020202020204" pitchFamily="34" charset="-128"/>
              <a:cs typeface="Arial Unicode MS" panose="020B0604020202020204" pitchFamily="34" charset="-128"/>
            </a:rPr>
            <a:t>No.</a:t>
          </a:r>
          <a:r>
            <a:rPr lang="en-IN" sz="1200" b="1" i="1" baseline="0">
              <a:solidFill>
                <a:srgbClr val="002060"/>
              </a:solidFill>
              <a:latin typeface="+mn-lt"/>
              <a:ea typeface="Arial Unicode MS" panose="020B0604020202020204" pitchFamily="34" charset="-128"/>
              <a:cs typeface="Arial Unicode MS" panose="020B0604020202020204" pitchFamily="34" charset="-128"/>
            </a:rPr>
            <a:t> of Patients</a:t>
          </a:r>
          <a:endParaRPr lang="en-IN" sz="1200" b="1" i="1">
            <a:solidFill>
              <a:srgbClr val="002060"/>
            </a:solidFill>
            <a:latin typeface="+mn-lt"/>
            <a:ea typeface="Arial Unicode MS" panose="020B0604020202020204" pitchFamily="34" charset="-128"/>
            <a:cs typeface="Arial Unicode MS" panose="020B0604020202020204" pitchFamily="34" charset="-128"/>
          </a:endParaRPr>
        </a:p>
      </xdr:txBody>
    </xdr:sp>
    <xdr:clientData/>
  </xdr:twoCellAnchor>
  <xdr:twoCellAnchor>
    <xdr:from>
      <xdr:col>5</xdr:col>
      <xdr:colOff>156210</xdr:colOff>
      <xdr:row>8</xdr:row>
      <xdr:rowOff>106680</xdr:rowOff>
    </xdr:from>
    <xdr:to>
      <xdr:col>7</xdr:col>
      <xdr:colOff>339090</xdr:colOff>
      <xdr:row>10</xdr:row>
      <xdr:rowOff>53340</xdr:rowOff>
    </xdr:to>
    <xdr:sp macro="" textlink="">
      <xdr:nvSpPr>
        <xdr:cNvPr id="40" name="TextBox 39">
          <a:extLst>
            <a:ext uri="{FF2B5EF4-FFF2-40B4-BE49-F238E27FC236}">
              <a16:creationId xmlns:a16="http://schemas.microsoft.com/office/drawing/2014/main" id="{3922A002-78F7-02E9-A5F8-7F7DF5B7781C}"/>
            </a:ext>
          </a:extLst>
        </xdr:cNvPr>
        <xdr:cNvSpPr txBox="1"/>
      </xdr:nvSpPr>
      <xdr:spPr>
        <a:xfrm>
          <a:off x="3204210" y="1554480"/>
          <a:ext cx="140208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solidFill>
                <a:srgbClr val="002060"/>
              </a:solidFill>
              <a:latin typeface="+mn-lt"/>
              <a:ea typeface="Arial Unicode MS" panose="020B0604020202020204" pitchFamily="34" charset="-128"/>
              <a:cs typeface="Arial Unicode MS" panose="020B0604020202020204" pitchFamily="34" charset="-128"/>
            </a:rPr>
            <a:t>Average</a:t>
          </a:r>
          <a:r>
            <a:rPr lang="en-IN" sz="1200" b="1" i="1" baseline="0">
              <a:solidFill>
                <a:srgbClr val="002060"/>
              </a:solidFill>
              <a:latin typeface="+mn-lt"/>
              <a:ea typeface="Arial Unicode MS" panose="020B0604020202020204" pitchFamily="34" charset="-128"/>
              <a:cs typeface="Arial Unicode MS" panose="020B0604020202020204" pitchFamily="34" charset="-128"/>
            </a:rPr>
            <a:t> wait Time</a:t>
          </a:r>
          <a:endParaRPr lang="en-IN" sz="1200" b="1" i="1">
            <a:solidFill>
              <a:srgbClr val="002060"/>
            </a:solidFill>
            <a:latin typeface="+mn-lt"/>
            <a:ea typeface="Arial Unicode MS" panose="020B0604020202020204" pitchFamily="34" charset="-128"/>
            <a:cs typeface="Arial Unicode MS" panose="020B0604020202020204" pitchFamily="34" charset="-128"/>
          </a:endParaRPr>
        </a:p>
      </xdr:txBody>
    </xdr:sp>
    <xdr:clientData/>
  </xdr:twoCellAnchor>
  <xdr:twoCellAnchor>
    <xdr:from>
      <xdr:col>8</xdr:col>
      <xdr:colOff>403860</xdr:colOff>
      <xdr:row>8</xdr:row>
      <xdr:rowOff>95250</xdr:rowOff>
    </xdr:from>
    <xdr:to>
      <xdr:col>11</xdr:col>
      <xdr:colOff>434340</xdr:colOff>
      <xdr:row>10</xdr:row>
      <xdr:rowOff>57150</xdr:rowOff>
    </xdr:to>
    <xdr:sp macro="" textlink="">
      <xdr:nvSpPr>
        <xdr:cNvPr id="41" name="TextBox 40">
          <a:extLst>
            <a:ext uri="{FF2B5EF4-FFF2-40B4-BE49-F238E27FC236}">
              <a16:creationId xmlns:a16="http://schemas.microsoft.com/office/drawing/2014/main" id="{EBFE2964-E8E6-BA7A-A856-513FAA2FEF75}"/>
            </a:ext>
          </a:extLst>
        </xdr:cNvPr>
        <xdr:cNvSpPr txBox="1"/>
      </xdr:nvSpPr>
      <xdr:spPr>
        <a:xfrm>
          <a:off x="5280660" y="1543050"/>
          <a:ext cx="185928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baseline="0">
              <a:solidFill>
                <a:srgbClr val="002060"/>
              </a:solidFill>
              <a:latin typeface="+mn-lt"/>
              <a:ea typeface="Arial Unicode MS" panose="020B0604020202020204" pitchFamily="34" charset="-128"/>
              <a:cs typeface="Arial Unicode MS" panose="020B0604020202020204" pitchFamily="34" charset="-128"/>
            </a:rPr>
            <a:t>Patients Satisfaction score</a:t>
          </a:r>
          <a:endParaRPr lang="en-IN" sz="2800" b="1" i="1">
            <a:solidFill>
              <a:srgbClr val="002060"/>
            </a:solidFill>
            <a:latin typeface="+mn-lt"/>
            <a:ea typeface="Arial Unicode MS" panose="020B0604020202020204" pitchFamily="34" charset="-128"/>
            <a:cs typeface="Arial Unicode MS" panose="020B0604020202020204" pitchFamily="34" charset="-128"/>
          </a:endParaRPr>
        </a:p>
      </xdr:txBody>
    </xdr:sp>
    <xdr:clientData/>
  </xdr:twoCellAnchor>
  <xdr:twoCellAnchor>
    <xdr:from>
      <xdr:col>2</xdr:col>
      <xdr:colOff>396240</xdr:colOff>
      <xdr:row>6</xdr:row>
      <xdr:rowOff>175260</xdr:rowOff>
    </xdr:from>
    <xdr:to>
      <xdr:col>3</xdr:col>
      <xdr:colOff>388620</xdr:colOff>
      <xdr:row>8</xdr:row>
      <xdr:rowOff>121920</xdr:rowOff>
    </xdr:to>
    <xdr:sp macro="" textlink="'Pivot Report'!A5">
      <xdr:nvSpPr>
        <xdr:cNvPr id="42" name="TextBox 41">
          <a:extLst>
            <a:ext uri="{FF2B5EF4-FFF2-40B4-BE49-F238E27FC236}">
              <a16:creationId xmlns:a16="http://schemas.microsoft.com/office/drawing/2014/main" id="{C7E8708A-24D8-D9F5-16C6-743B012FC164}"/>
            </a:ext>
          </a:extLst>
        </xdr:cNvPr>
        <xdr:cNvSpPr txBox="1"/>
      </xdr:nvSpPr>
      <xdr:spPr>
        <a:xfrm>
          <a:off x="1615440" y="1272540"/>
          <a:ext cx="6019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619ED6-7B20-4AC5-B588-6544E4ABBB24}" type="TxLink">
            <a:rPr lang="en-US" sz="1600" b="1" i="0" u="none" strike="noStrike">
              <a:solidFill>
                <a:srgbClr val="000000"/>
              </a:solidFill>
              <a:latin typeface="Calibri"/>
              <a:ea typeface="Calibri"/>
              <a:cs typeface="Calibri"/>
            </a:rPr>
            <a:pPr/>
            <a:t>480</a:t>
          </a:fld>
          <a:endParaRPr lang="en-IN" sz="1600" b="1" i="1">
            <a:solidFill>
              <a:srgbClr val="002060"/>
            </a:solidFill>
            <a:latin typeface="+mn-lt"/>
            <a:ea typeface="Arial Unicode MS" panose="020B0604020202020204" pitchFamily="34" charset="-128"/>
            <a:cs typeface="Arial Unicode MS" panose="020B0604020202020204" pitchFamily="34" charset="-128"/>
          </a:endParaRPr>
        </a:p>
      </xdr:txBody>
    </xdr:sp>
    <xdr:clientData/>
  </xdr:twoCellAnchor>
  <xdr:twoCellAnchor>
    <xdr:from>
      <xdr:col>5</xdr:col>
      <xdr:colOff>365760</xdr:colOff>
      <xdr:row>6</xdr:row>
      <xdr:rowOff>152400</xdr:rowOff>
    </xdr:from>
    <xdr:to>
      <xdr:col>6</xdr:col>
      <xdr:colOff>449580</xdr:colOff>
      <xdr:row>8</xdr:row>
      <xdr:rowOff>99060</xdr:rowOff>
    </xdr:to>
    <xdr:sp macro="" textlink="'Pivot Report'!A10">
      <xdr:nvSpPr>
        <xdr:cNvPr id="45" name="TextBox 44">
          <a:extLst>
            <a:ext uri="{FF2B5EF4-FFF2-40B4-BE49-F238E27FC236}">
              <a16:creationId xmlns:a16="http://schemas.microsoft.com/office/drawing/2014/main" id="{B7737639-2CB5-A6D1-4FD2-DF9DA9999B6B}"/>
            </a:ext>
          </a:extLst>
        </xdr:cNvPr>
        <xdr:cNvSpPr txBox="1"/>
      </xdr:nvSpPr>
      <xdr:spPr>
        <a:xfrm>
          <a:off x="3413760" y="1249680"/>
          <a:ext cx="6934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3857D6-4C02-4947-93F5-7DE03636CE5E}" type="TxLink">
            <a:rPr lang="en-US" sz="1600" b="1" i="0" u="none" strike="noStrike">
              <a:solidFill>
                <a:srgbClr val="000000"/>
              </a:solidFill>
              <a:latin typeface="Calibri"/>
              <a:ea typeface="Calibri"/>
              <a:cs typeface="Calibri"/>
            </a:rPr>
            <a:pPr/>
            <a:t>34.43</a:t>
          </a:fld>
          <a:endParaRPr lang="en-IN" sz="1800" b="1" i="1">
            <a:solidFill>
              <a:srgbClr val="002060"/>
            </a:solidFill>
            <a:latin typeface="+mn-lt"/>
            <a:ea typeface="Arial Unicode MS" panose="020B0604020202020204" pitchFamily="34" charset="-128"/>
            <a:cs typeface="Arial Unicode MS" panose="020B0604020202020204" pitchFamily="34" charset="-128"/>
          </a:endParaRPr>
        </a:p>
      </xdr:txBody>
    </xdr:sp>
    <xdr:clientData/>
  </xdr:twoCellAnchor>
  <xdr:twoCellAnchor>
    <xdr:from>
      <xdr:col>9</xdr:col>
      <xdr:colOff>403860</xdr:colOff>
      <xdr:row>6</xdr:row>
      <xdr:rowOff>129540</xdr:rowOff>
    </xdr:from>
    <xdr:to>
      <xdr:col>10</xdr:col>
      <xdr:colOff>396240</xdr:colOff>
      <xdr:row>8</xdr:row>
      <xdr:rowOff>76200</xdr:rowOff>
    </xdr:to>
    <xdr:sp macro="" textlink="'Pivot Report'!A14">
      <xdr:nvSpPr>
        <xdr:cNvPr id="46" name="TextBox 45">
          <a:extLst>
            <a:ext uri="{FF2B5EF4-FFF2-40B4-BE49-F238E27FC236}">
              <a16:creationId xmlns:a16="http://schemas.microsoft.com/office/drawing/2014/main" id="{AB18F558-A3C9-3D17-E4B8-25CF0CC31A9F}"/>
            </a:ext>
          </a:extLst>
        </xdr:cNvPr>
        <xdr:cNvSpPr txBox="1"/>
      </xdr:nvSpPr>
      <xdr:spPr>
        <a:xfrm>
          <a:off x="5890260" y="1215390"/>
          <a:ext cx="60198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5EF4BF-8ED9-471F-91BA-4550F4862B7C}" type="TxLink">
            <a:rPr lang="en-US" sz="1600" b="1" i="0" u="none" strike="noStrike">
              <a:solidFill>
                <a:srgbClr val="000000"/>
              </a:solidFill>
              <a:latin typeface="Calibri"/>
              <a:ea typeface="Calibri"/>
              <a:cs typeface="Calibri"/>
            </a:rPr>
            <a:pPr/>
            <a:t>5.16</a:t>
          </a:fld>
          <a:endParaRPr lang="en-IN" sz="1600" b="1" i="1">
            <a:solidFill>
              <a:srgbClr val="002060"/>
            </a:solidFill>
            <a:latin typeface="+mn-lt"/>
            <a:ea typeface="Arial Unicode MS" panose="020B0604020202020204" pitchFamily="34" charset="-128"/>
            <a:cs typeface="Arial Unicode MS" panose="020B0604020202020204" pitchFamily="34" charset="-128"/>
          </a:endParaRPr>
        </a:p>
      </xdr:txBody>
    </xdr:sp>
    <xdr:clientData/>
  </xdr:twoCellAnchor>
  <xdr:twoCellAnchor editAs="oneCell">
    <xdr:from>
      <xdr:col>4</xdr:col>
      <xdr:colOff>30480</xdr:colOff>
      <xdr:row>5</xdr:row>
      <xdr:rowOff>106680</xdr:rowOff>
    </xdr:from>
    <xdr:to>
      <xdr:col>5</xdr:col>
      <xdr:colOff>15241</xdr:colOff>
      <xdr:row>8</xdr:row>
      <xdr:rowOff>152401</xdr:rowOff>
    </xdr:to>
    <xdr:pic>
      <xdr:nvPicPr>
        <xdr:cNvPr id="48" name="Picture 47">
          <a:extLst>
            <a:ext uri="{FF2B5EF4-FFF2-40B4-BE49-F238E27FC236}">
              <a16:creationId xmlns:a16="http://schemas.microsoft.com/office/drawing/2014/main" id="{F7A5EE22-5809-1F35-5C88-B6B8AC54F4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rot="10800000" flipH="1" flipV="1">
          <a:off x="2468880" y="1021080"/>
          <a:ext cx="594361" cy="594361"/>
        </a:xfrm>
        <a:prstGeom prst="rect">
          <a:avLst/>
        </a:prstGeom>
      </xdr:spPr>
    </xdr:pic>
    <xdr:clientData/>
  </xdr:twoCellAnchor>
  <xdr:twoCellAnchor editAs="oneCell">
    <xdr:from>
      <xdr:col>7</xdr:col>
      <xdr:colOff>365760</xdr:colOff>
      <xdr:row>5</xdr:row>
      <xdr:rowOff>91440</xdr:rowOff>
    </xdr:from>
    <xdr:to>
      <xdr:col>8</xdr:col>
      <xdr:colOff>327660</xdr:colOff>
      <xdr:row>8</xdr:row>
      <xdr:rowOff>114300</xdr:rowOff>
    </xdr:to>
    <xdr:pic>
      <xdr:nvPicPr>
        <xdr:cNvPr id="50" name="Picture 49">
          <a:extLst>
            <a:ext uri="{FF2B5EF4-FFF2-40B4-BE49-F238E27FC236}">
              <a16:creationId xmlns:a16="http://schemas.microsoft.com/office/drawing/2014/main" id="{F10B9BBE-928B-B177-7FF3-4932DE550E4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632960" y="996315"/>
          <a:ext cx="571500" cy="565785"/>
        </a:xfrm>
        <a:prstGeom prst="rect">
          <a:avLst/>
        </a:prstGeom>
      </xdr:spPr>
    </xdr:pic>
    <xdr:clientData/>
  </xdr:twoCellAnchor>
  <xdr:twoCellAnchor editAs="oneCell">
    <xdr:from>
      <xdr:col>11</xdr:col>
      <xdr:colOff>144781</xdr:colOff>
      <xdr:row>5</xdr:row>
      <xdr:rowOff>15241</xdr:rowOff>
    </xdr:from>
    <xdr:to>
      <xdr:col>12</xdr:col>
      <xdr:colOff>160021</xdr:colOff>
      <xdr:row>8</xdr:row>
      <xdr:rowOff>91441</xdr:rowOff>
    </xdr:to>
    <xdr:pic>
      <xdr:nvPicPr>
        <xdr:cNvPr id="52" name="Picture 51">
          <a:extLst>
            <a:ext uri="{FF2B5EF4-FFF2-40B4-BE49-F238E27FC236}">
              <a16:creationId xmlns:a16="http://schemas.microsoft.com/office/drawing/2014/main" id="{81552650-C063-3592-46F5-E4CAECD6878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0381" y="929641"/>
          <a:ext cx="624840" cy="624840"/>
        </a:xfrm>
        <a:prstGeom prst="rect">
          <a:avLst/>
        </a:prstGeom>
      </xdr:spPr>
    </xdr:pic>
    <xdr:clientData/>
  </xdr:twoCellAnchor>
  <xdr:twoCellAnchor editAs="oneCell">
    <xdr:from>
      <xdr:col>0</xdr:col>
      <xdr:colOff>96569</xdr:colOff>
      <xdr:row>9</xdr:row>
      <xdr:rowOff>171451</xdr:rowOff>
    </xdr:from>
    <xdr:to>
      <xdr:col>1</xdr:col>
      <xdr:colOff>295275</xdr:colOff>
      <xdr:row>29</xdr:row>
      <xdr:rowOff>114300</xdr:rowOff>
    </xdr:to>
    <mc:AlternateContent xmlns:mc="http://schemas.openxmlformats.org/markup-compatibility/2006" xmlns:a14="http://schemas.microsoft.com/office/drawing/2010/main">
      <mc:Choice Requires="a14">
        <xdr:graphicFrame macro="">
          <xdr:nvGraphicFramePr>
            <xdr:cNvPr id="55" name="Date (Month) 1">
              <a:extLst>
                <a:ext uri="{FF2B5EF4-FFF2-40B4-BE49-F238E27FC236}">
                  <a16:creationId xmlns:a16="http://schemas.microsoft.com/office/drawing/2014/main" id="{0D4C48DF-5837-431A-B253-48FBF923A15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6569" y="1817371"/>
              <a:ext cx="808306" cy="3592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523876</xdr:colOff>
      <xdr:row>10</xdr:row>
      <xdr:rowOff>85724</xdr:rowOff>
    </xdr:from>
    <xdr:to>
      <xdr:col>5</xdr:col>
      <xdr:colOff>66676</xdr:colOff>
      <xdr:row>13</xdr:row>
      <xdr:rowOff>19050</xdr:rowOff>
    </xdr:to>
    <xdr:graphicFrame macro="">
      <xdr:nvGraphicFramePr>
        <xdr:cNvPr id="59" name="Chart 58">
          <a:hlinkClick xmlns:r="http://schemas.openxmlformats.org/officeDocument/2006/relationships" r:id="rId5"/>
          <a:extLst>
            <a:ext uri="{FF2B5EF4-FFF2-40B4-BE49-F238E27FC236}">
              <a16:creationId xmlns:a16="http://schemas.microsoft.com/office/drawing/2014/main" id="{97A7270D-2230-4002-814A-A664FFFE0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190499</xdr:colOff>
      <xdr:row>10</xdr:row>
      <xdr:rowOff>152400</xdr:rowOff>
    </xdr:from>
    <xdr:to>
      <xdr:col>8</xdr:col>
      <xdr:colOff>428624</xdr:colOff>
      <xdr:row>13</xdr:row>
      <xdr:rowOff>9525</xdr:rowOff>
    </xdr:to>
    <xdr:graphicFrame macro="">
      <xdr:nvGraphicFramePr>
        <xdr:cNvPr id="61" name="Chart 60">
          <a:hlinkClick xmlns:r="http://schemas.openxmlformats.org/officeDocument/2006/relationships" r:id="rId7"/>
          <a:extLst>
            <a:ext uri="{FF2B5EF4-FFF2-40B4-BE49-F238E27FC236}">
              <a16:creationId xmlns:a16="http://schemas.microsoft.com/office/drawing/2014/main" id="{E5DE1817-B26E-4A43-9B62-345C6F504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476250</xdr:colOff>
      <xdr:row>9</xdr:row>
      <xdr:rowOff>152399</xdr:rowOff>
    </xdr:from>
    <xdr:to>
      <xdr:col>12</xdr:col>
      <xdr:colOff>190499</xdr:colOff>
      <xdr:row>13</xdr:row>
      <xdr:rowOff>9524</xdr:rowOff>
    </xdr:to>
    <xdr:graphicFrame macro="">
      <xdr:nvGraphicFramePr>
        <xdr:cNvPr id="3" name="Chart 2">
          <a:hlinkClick xmlns:r="http://schemas.openxmlformats.org/officeDocument/2006/relationships" r:id="rId9"/>
          <a:extLst>
            <a:ext uri="{FF2B5EF4-FFF2-40B4-BE49-F238E27FC236}">
              <a16:creationId xmlns:a16="http://schemas.microsoft.com/office/drawing/2014/main" id="{BAAF094C-3EEC-4903-AB46-036B70A5B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16</xdr:col>
      <xdr:colOff>452966</xdr:colOff>
      <xdr:row>0</xdr:row>
      <xdr:rowOff>101600</xdr:rowOff>
    </xdr:from>
    <xdr:to>
      <xdr:col>20</xdr:col>
      <xdr:colOff>472017</xdr:colOff>
      <xdr:row>13</xdr:row>
      <xdr:rowOff>169332</xdr:rowOff>
    </xdr:to>
    <xdr:sp macro="" textlink="">
      <xdr:nvSpPr>
        <xdr:cNvPr id="27" name="Rectangle: Rounded Corners 26">
          <a:extLst>
            <a:ext uri="{FF2B5EF4-FFF2-40B4-BE49-F238E27FC236}">
              <a16:creationId xmlns:a16="http://schemas.microsoft.com/office/drawing/2014/main" id="{19C7BC93-2358-FF1B-7416-68697CFEAD10}"/>
            </a:ext>
          </a:extLst>
        </xdr:cNvPr>
        <xdr:cNvSpPr/>
      </xdr:nvSpPr>
      <xdr:spPr>
        <a:xfrm>
          <a:off x="10206566" y="101600"/>
          <a:ext cx="2457451" cy="2489199"/>
        </a:xfrm>
        <a:prstGeom prst="roundRect">
          <a:avLst>
            <a:gd name="adj" fmla="val 10855"/>
          </a:avLst>
        </a:prstGeom>
        <a:solidFill>
          <a:schemeClr val="accent1">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294428</xdr:colOff>
      <xdr:row>0</xdr:row>
      <xdr:rowOff>86783</xdr:rowOff>
    </xdr:from>
    <xdr:to>
      <xdr:col>16</xdr:col>
      <xdr:colOff>363008</xdr:colOff>
      <xdr:row>13</xdr:row>
      <xdr:rowOff>152399</xdr:rowOff>
    </xdr:to>
    <xdr:sp macro="" textlink="">
      <xdr:nvSpPr>
        <xdr:cNvPr id="29" name="Rectangle: Rounded Corners 28">
          <a:extLst>
            <a:ext uri="{FF2B5EF4-FFF2-40B4-BE49-F238E27FC236}">
              <a16:creationId xmlns:a16="http://schemas.microsoft.com/office/drawing/2014/main" id="{D11847B0-7CB7-31D5-E5DD-5EC76CF1AEA1}"/>
            </a:ext>
          </a:extLst>
        </xdr:cNvPr>
        <xdr:cNvSpPr/>
      </xdr:nvSpPr>
      <xdr:spPr>
        <a:xfrm>
          <a:off x="7609628" y="86783"/>
          <a:ext cx="2506980" cy="2487083"/>
        </a:xfrm>
        <a:prstGeom prst="roundRect">
          <a:avLst>
            <a:gd name="adj" fmla="val 10855"/>
          </a:avLst>
        </a:prstGeom>
        <a:solidFill>
          <a:schemeClr val="accent1">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533401</xdr:colOff>
      <xdr:row>18</xdr:row>
      <xdr:rowOff>114301</xdr:rowOff>
    </xdr:from>
    <xdr:to>
      <xdr:col>12</xdr:col>
      <xdr:colOff>95251</xdr:colOff>
      <xdr:row>29</xdr:row>
      <xdr:rowOff>38100</xdr:rowOff>
    </xdr:to>
    <xdr:graphicFrame macro="">
      <xdr:nvGraphicFramePr>
        <xdr:cNvPr id="31" name="Chart 30">
          <a:extLst>
            <a:ext uri="{FF2B5EF4-FFF2-40B4-BE49-F238E27FC236}">
              <a16:creationId xmlns:a16="http://schemas.microsoft.com/office/drawing/2014/main" id="{9A01A607-4DC1-4807-8CE7-306A9BA34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514350</xdr:colOff>
          <xdr:row>13</xdr:row>
          <xdr:rowOff>57149</xdr:rowOff>
        </xdr:from>
        <xdr:to>
          <xdr:col>12</xdr:col>
          <xdr:colOff>142875</xdr:colOff>
          <xdr:row>18</xdr:row>
          <xdr:rowOff>9524</xdr:rowOff>
        </xdr:to>
        <xdr:pic>
          <xdr:nvPicPr>
            <xdr:cNvPr id="36" name="Picture 35">
              <a:extLst>
                <a:ext uri="{FF2B5EF4-FFF2-40B4-BE49-F238E27FC236}">
                  <a16:creationId xmlns:a16="http://schemas.microsoft.com/office/drawing/2014/main" id="{271C2BBA-824A-718A-C7DF-995F411B80BD}"/>
                </a:ext>
              </a:extLst>
            </xdr:cNvPr>
            <xdr:cNvPicPr>
              <a:picLocks noChangeAspect="1" noChangeArrowheads="1"/>
              <a:extLst>
                <a:ext uri="{84589F7E-364E-4C9E-8A38-B11213B215E9}">
                  <a14:cameraTool cellRange="'Pivot Report'!$A$48:$D$50" spid="_x0000_s1084"/>
                </a:ext>
              </a:extLst>
            </xdr:cNvPicPr>
          </xdr:nvPicPr>
          <xdr:blipFill>
            <a:blip xmlns:r="http://schemas.openxmlformats.org/officeDocument/2006/relationships" r:embed="rId12"/>
            <a:srcRect/>
            <a:stretch>
              <a:fillRect/>
            </a:stretch>
          </xdr:blipFill>
          <xdr:spPr bwMode="auto">
            <a:xfrm>
              <a:off x="1123950" y="2409824"/>
              <a:ext cx="6334125" cy="8477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302895</xdr:colOff>
      <xdr:row>0</xdr:row>
      <xdr:rowOff>171450</xdr:rowOff>
    </xdr:from>
    <xdr:to>
      <xdr:col>16</xdr:col>
      <xdr:colOff>371475</xdr:colOff>
      <xdr:row>13</xdr:row>
      <xdr:rowOff>161925</xdr:rowOff>
    </xdr:to>
    <xdr:graphicFrame macro="">
      <xdr:nvGraphicFramePr>
        <xdr:cNvPr id="43" name="Chart 42">
          <a:extLst>
            <a:ext uri="{FF2B5EF4-FFF2-40B4-BE49-F238E27FC236}">
              <a16:creationId xmlns:a16="http://schemas.microsoft.com/office/drawing/2014/main" id="{7FA061D5-11C7-452A-B77A-E1F1F7D6D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495300</xdr:colOff>
      <xdr:row>0</xdr:row>
      <xdr:rowOff>180974</xdr:rowOff>
    </xdr:from>
    <xdr:to>
      <xdr:col>20</xdr:col>
      <xdr:colOff>495300</xdr:colOff>
      <xdr:row>13</xdr:row>
      <xdr:rowOff>161924</xdr:rowOff>
    </xdr:to>
    <xdr:graphicFrame macro="">
      <xdr:nvGraphicFramePr>
        <xdr:cNvPr id="47" name="Chart 46">
          <a:extLst>
            <a:ext uri="{FF2B5EF4-FFF2-40B4-BE49-F238E27FC236}">
              <a16:creationId xmlns:a16="http://schemas.microsoft.com/office/drawing/2014/main" id="{E4D5510A-0195-44BD-B719-F51A03BE5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295275</xdr:colOff>
      <xdr:row>14</xdr:row>
      <xdr:rowOff>1</xdr:rowOff>
    </xdr:from>
    <xdr:to>
      <xdr:col>20</xdr:col>
      <xdr:colOff>495300</xdr:colOff>
      <xdr:row>29</xdr:row>
      <xdr:rowOff>76201</xdr:rowOff>
    </xdr:to>
    <xdr:graphicFrame macro="">
      <xdr:nvGraphicFramePr>
        <xdr:cNvPr id="49" name="Chart 48">
          <a:extLst>
            <a:ext uri="{FF2B5EF4-FFF2-40B4-BE49-F238E27FC236}">
              <a16:creationId xmlns:a16="http://schemas.microsoft.com/office/drawing/2014/main" id="{0ACD2645-6396-4313-B0DB-6D5EF8698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85724</xdr:colOff>
      <xdr:row>5</xdr:row>
      <xdr:rowOff>28575</xdr:rowOff>
    </xdr:from>
    <xdr:to>
      <xdr:col>1</xdr:col>
      <xdr:colOff>390525</xdr:colOff>
      <xdr:row>9</xdr:row>
      <xdr:rowOff>0</xdr:rowOff>
    </xdr:to>
    <mc:AlternateContent xmlns:mc="http://schemas.openxmlformats.org/markup-compatibility/2006" xmlns:a14="http://schemas.microsoft.com/office/drawing/2010/main">
      <mc:Choice Requires="a14">
        <xdr:graphicFrame macro="">
          <xdr:nvGraphicFramePr>
            <xdr:cNvPr id="51" name="Date (Year) 1">
              <a:extLst>
                <a:ext uri="{FF2B5EF4-FFF2-40B4-BE49-F238E27FC236}">
                  <a16:creationId xmlns:a16="http://schemas.microsoft.com/office/drawing/2014/main" id="{A510A5C5-CCAD-48CD-BE5E-A34262C81DD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85724" y="942975"/>
              <a:ext cx="914401" cy="702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198120</xdr:colOff>
      <xdr:row>6</xdr:row>
      <xdr:rowOff>129540</xdr:rowOff>
    </xdr:from>
    <xdr:to>
      <xdr:col>11</xdr:col>
      <xdr:colOff>99060</xdr:colOff>
      <xdr:row>8</xdr:row>
      <xdr:rowOff>68580</xdr:rowOff>
    </xdr:to>
    <xdr:sp macro="" textlink="">
      <xdr:nvSpPr>
        <xdr:cNvPr id="4" name="TextBox 3">
          <a:extLst>
            <a:ext uri="{FF2B5EF4-FFF2-40B4-BE49-F238E27FC236}">
              <a16:creationId xmlns:a16="http://schemas.microsoft.com/office/drawing/2014/main" id="{C63CA08D-9C53-CAC6-3738-26479C7D8BD8}"/>
            </a:ext>
          </a:extLst>
        </xdr:cNvPr>
        <xdr:cNvSpPr txBox="1"/>
      </xdr:nvSpPr>
      <xdr:spPr>
        <a:xfrm>
          <a:off x="6294120" y="1226820"/>
          <a:ext cx="5105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i="0" u="none" strike="noStrike">
              <a:solidFill>
                <a:srgbClr val="000000"/>
              </a:solidFill>
              <a:latin typeface="Calibri"/>
              <a:ea typeface="Calibri"/>
              <a:cs typeface="Calibri"/>
            </a:rPr>
            <a:t>/10</a:t>
          </a:r>
        </a:p>
      </xdr:txBody>
    </xdr:sp>
    <xdr:clientData/>
  </xdr:twoCellAnchor>
  <xdr:twoCellAnchor>
    <xdr:from>
      <xdr:col>6</xdr:col>
      <xdr:colOff>274320</xdr:colOff>
      <xdr:row>6</xdr:row>
      <xdr:rowOff>144780</xdr:rowOff>
    </xdr:from>
    <xdr:to>
      <xdr:col>7</xdr:col>
      <xdr:colOff>350520</xdr:colOff>
      <xdr:row>8</xdr:row>
      <xdr:rowOff>114300</xdr:rowOff>
    </xdr:to>
    <xdr:sp macro="" textlink="">
      <xdr:nvSpPr>
        <xdr:cNvPr id="5" name="TextBox 4">
          <a:extLst>
            <a:ext uri="{FF2B5EF4-FFF2-40B4-BE49-F238E27FC236}">
              <a16:creationId xmlns:a16="http://schemas.microsoft.com/office/drawing/2014/main" id="{58F75950-B718-9879-ECB3-68348F450047}"/>
            </a:ext>
          </a:extLst>
        </xdr:cNvPr>
        <xdr:cNvSpPr txBox="1"/>
      </xdr:nvSpPr>
      <xdr:spPr>
        <a:xfrm>
          <a:off x="3931920" y="1242060"/>
          <a:ext cx="6858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i="0" u="none" strike="noStrike">
              <a:solidFill>
                <a:srgbClr val="000000"/>
              </a:solidFill>
              <a:latin typeface="Calibri"/>
              <a:ea typeface="Calibri"/>
              <a:cs typeface="Calibri"/>
            </a:rPr>
            <a:t>min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137160</xdr:colOff>
      <xdr:row>6</xdr:row>
      <xdr:rowOff>30480</xdr:rowOff>
    </xdr:from>
    <xdr:to>
      <xdr:col>12</xdr:col>
      <xdr:colOff>548640</xdr:colOff>
      <xdr:row>23</xdr:row>
      <xdr:rowOff>60960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CEBF4738-7E0F-47DF-8FF6-4571AE082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0.00243</cdr:y>
    </cdr:from>
    <cdr:to>
      <cdr:x>0.09467</cdr:x>
      <cdr:y>0.23544</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D6F7A00-D5C8-E4AD-DC35-96F3CEAD7A7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7620"/>
          <a:ext cx="731520" cy="7315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167640</xdr:colOff>
      <xdr:row>1</xdr:row>
      <xdr:rowOff>30480</xdr:rowOff>
    </xdr:from>
    <xdr:to>
      <xdr:col>12</xdr:col>
      <xdr:colOff>335280</xdr:colOff>
      <xdr:row>21</xdr:row>
      <xdr:rowOff>106680</xdr:rowOff>
    </xdr:to>
    <xdr:graphicFrame macro="">
      <xdr:nvGraphicFramePr>
        <xdr:cNvPr id="2" name="Chart 1">
          <a:extLst>
            <a:ext uri="{FF2B5EF4-FFF2-40B4-BE49-F238E27FC236}">
              <a16:creationId xmlns:a16="http://schemas.microsoft.com/office/drawing/2014/main" id="{2379CD08-C0ED-44FF-95A9-B9C71C583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0.08045</cdr:x>
      <cdr:y>0.16122</cdr:y>
    </cdr:to>
    <cdr:pic>
      <cdr:nvPicPr>
        <cdr:cNvPr id="2" name="Graphic 1"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E9ED7FC-EDD0-B6CB-61B8-1AE7805A9DB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01980" cy="60198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167640</xdr:colOff>
      <xdr:row>1</xdr:row>
      <xdr:rowOff>53340</xdr:rowOff>
    </xdr:from>
    <xdr:to>
      <xdr:col>12</xdr:col>
      <xdr:colOff>335280</xdr:colOff>
      <xdr:row>21</xdr:row>
      <xdr:rowOff>129540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00E67539-4A00-434A-A262-F4FE0F7D8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0.08045</cdr:x>
      <cdr:y>0.16122</cdr:y>
    </cdr:to>
    <cdr:pic>
      <cdr:nvPicPr>
        <cdr:cNvPr id="2" name="Graphic 1"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E9ED7FC-EDD0-B6CB-61B8-1AE7805A9DB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01980" cy="6019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67939817" createdVersion="5" refreshedVersion="8" minRefreshableVersion="3" recordCount="0" supportSubquery="1" supportAdvancedDrill="1" xr:uid="{C20BA485-87B0-43A9-96AC-79F633B17650}">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0"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0" memberValueDatatype="130" unbalanced="0"/>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0"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0"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68171294" createdVersion="5" refreshedVersion="8" minRefreshableVersion="3" recordCount="0" supportSubquery="1" supportAdvancedDrill="1" xr:uid="{7E41E44F-954D-4517-9EC6-CF123B3D1D17}">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0"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0" memberValueDatatype="130" unbalanced="0"/>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0"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0"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68171294" createdVersion="5" refreshedVersion="8" minRefreshableVersion="3" recordCount="0" supportSubquery="1" supportAdvancedDrill="1" xr:uid="{D0898AA2-6A78-4DFA-9371-4A6AF306937A}">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0"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0" memberValueDatatype="130" unbalanced="0"/>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0"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0"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68402779" createdVersion="5" refreshedVersion="8" minRefreshableVersion="3" recordCount="0" supportSubquery="1" supportAdvancedDrill="1" xr:uid="{12ECAAC5-C11E-445C-9366-5A675EC0107C}">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0"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0" memberValueDatatype="130" unbalanced="0"/>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0"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0"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68750002" createdVersion="5" refreshedVersion="8" minRefreshableVersion="3" recordCount="0" supportSubquery="1" supportAdvancedDrill="1" xr:uid="{09B3CD2A-7A3B-4158-90A6-AA5CD46A76F2}">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6-May"/>
        <s v="17-May"/>
        <s v="18-May"/>
        <s v="19-May"/>
        <s v="20-May"/>
        <s v="21-May"/>
        <s v="22-May"/>
        <s v="23-May"/>
        <s v="24-May"/>
        <s v="25-May"/>
        <s v="26-May"/>
        <s v="27-May"/>
        <s v="28-May"/>
        <s v="29-May"/>
        <s v="30-May"/>
        <s v="31-May"/>
        <s v="1-Feb" u="1"/>
      </sharedItems>
    </cacheField>
    <cacheField name="[Calendar_Table].[Date (Month)].[Date (Month)]" caption="Date (Month)" numFmtId="0" hierarchy="1" level="1">
      <sharedItems containsSemiMixedTypes="0" containsNonDate="0" containsString="0"/>
    </cacheField>
    <cacheField name="[Measures].[Sum of Patient Satisfaction Score]" caption="Sum of Patient Satisfaction Score" numFmtId="0" hierarchy="27"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0"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0" memberValueDatatype="130" unbalanced="0"/>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0"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0"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69097226" createdVersion="5" refreshedVersion="8" minRefreshableVersion="3" recordCount="0" supportSubquery="1" supportAdvancedDrill="1" xr:uid="{D27D6F44-64B5-4469-B4BF-10DFFADD143F}">
  <cacheSource type="external" connectionId="3"/>
  <cacheFields count="4">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0"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0" memberValueDatatype="130" unbalanced="0"/>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0"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0"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69444442" createdVersion="5" refreshedVersion="8" minRefreshableVersion="3" recordCount="0" supportSubquery="1" supportAdvancedDrill="1" xr:uid="{3A541B9B-475F-41D9-A6F8-DC8C98510AE0}">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_Emergency_Room_Data_India].[Patient Admission Flag].[Patient Admission Flag]" caption="Patient Admission Flag" numFmtId="0" hierarchy="13" level="1">
      <sharedItems count="2">
        <s v="Admitted"/>
        <s v="Not-Admitted"/>
      </sharedItems>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0"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0" memberValueDatatype="130" unbalanced="0"/>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2" memberValueDatatype="130" unbalanced="0">
      <fieldsUsage count="2">
        <fieldUsage x="-1"/>
        <fieldUsage x="2"/>
      </fieldsUsage>
    </cacheHierarchy>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0"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69791665" createdVersion="5" refreshedVersion="8" minRefreshableVersion="3" recordCount="0" supportSubquery="1" supportAdvancedDrill="1" xr:uid="{2CDC0A1F-5A40-43B4-A5A2-BA4446AE92C5}">
  <cacheSource type="external" connectionId="3"/>
  <cacheFields count="4">
    <cacheField name="[Calendar_Table].[Date (Month)].[Date (Month)]" caption="Date (Month)" numFmtId="0" hierarchy="1" level="1">
      <sharedItems containsSemiMixedTypes="0" containsNonDate="0" containsString="0"/>
    </cacheField>
    <cacheField name="[Hospital_Emergency_Room_Data_Indi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0"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0" memberValueDatatype="130" unbalanced="0"/>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0"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2" memberValueDatatype="130" unbalanced="0">
      <fieldsUsage count="2">
        <fieldUsage x="-1"/>
        <fieldUsage x="1"/>
      </fieldsUsage>
    </cacheHierarchy>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70254627" createdVersion="5" refreshedVersion="8" minRefreshableVersion="3" recordCount="0" supportSubquery="1" supportAdvancedDrill="1" xr:uid="{512DD7FB-289E-44E8-9C0A-007CC910B182}">
  <cacheSource type="external" connectionId="3"/>
  <cacheFields count="4">
    <cacheField name="[Calendar_Table].[Date (Month)].[Date (Month)]" caption="Date (Month)" numFmtId="0" hierarchy="1" level="1">
      <sharedItems containsSemiMixedTypes="0" containsNonDate="0" containsString="0"/>
    </cacheField>
    <cacheField name="[Hospital_Emergency_Room_Data_India].[Patient Attend Status].[Patient Attend Status]" caption="Patient Attend Status" numFmtId="0" hierarchy="17" level="1">
      <sharedItems count="2">
        <s v="Delay"/>
        <s v="On 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0"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0" memberValueDatatype="130" unbalanced="0"/>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0"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0"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7060185" createdVersion="5" refreshedVersion="8" minRefreshableVersion="3" recordCount="0" supportSubquery="1" supportAdvancedDrill="1" xr:uid="{59287643-FC62-4F57-98C9-99C1F1DC6307}">
  <cacheSource type="external" connectionId="3"/>
  <cacheFields count="4">
    <cacheField name="[Calendar_Table].[Date (Month)].[Date (Month)]" caption="Date (Month)" numFmtId="0" hierarchy="1" level="1">
      <sharedItems containsSemiMixedTypes="0" containsNonDate="0" containsString="0"/>
    </cacheField>
    <cacheField name="[Hospital_Emergency_Room_Data_India].[Patient Gender].[Patient Gender]" caption="Patient Gender" numFmtId="0" hierarchy="9" level="1">
      <sharedItems count="2">
        <s v="Female"/>
        <s v="Mal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2" memberValueDatatype="130" unbalanced="0">
      <fieldsUsage count="2">
        <fieldUsage x="-1"/>
        <fieldUsage x="1"/>
      </fieldsUsage>
    </cacheHierarchy>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0" memberValueDatatype="130" unbalanced="0"/>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0"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0"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70949073" createdVersion="5" refreshedVersion="8" minRefreshableVersion="3" recordCount="0" supportSubquery="1" supportAdvancedDrill="1" xr:uid="{BA201762-09E8-43C5-8C10-3AA80B0913FC}">
  <cacheSource type="external" connectionId="3"/>
  <cacheFields count="4">
    <cacheField name="[Calendar_Table].[Date (Month)].[Date (Month)]" caption="Date (Month)" numFmtId="0" hierarchy="1" level="1">
      <sharedItems containsSemiMixedTypes="0" containsNonDate="0" containsString="0"/>
    </cacheField>
    <cacheField name="[Hospital_Emergency_Room_Data_India].[Department Referral].[Department Referral]" caption="Department Referral" numFmtId="0" hierarchy="12" level="1">
      <sharedItems count="8">
        <s v=""/>
        <s v="Cardiology"/>
        <s v="Gastroenterology"/>
        <s v="General Practice"/>
        <s v="Neurology"/>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0"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2" memberValueDatatype="130" unbalanced="0">
      <fieldsUsage count="2">
        <fieldUsage x="-1"/>
        <fieldUsage x="1"/>
      </fieldsUsage>
    </cacheHierarchy>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0"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0"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02671296296" createdVersion="5" refreshedVersion="8" minRefreshableVersion="3" recordCount="0" supportSubquery="1" supportAdvancedDrill="1" xr:uid="{B8FE4F94-B5E6-4F6E-B50D-2987EB98C569}">
  <cacheSource type="external" connectionId="3"/>
  <cacheFields count="5">
    <cacheField name="[Calendar_Table].[Date (Month)].[Date (Month)]" caption="Date (Month)" numFmtId="0" hierarchy="1" level="1">
      <sharedItems count="1">
        <s v="Jan"/>
      </sharedItems>
    </cacheField>
    <cacheField name="[Hospital_Emergency_Room_Data_India].[Department Referral].[Department Referral]" caption="Department Referral" numFmtId="0" hierarchy="12" level="1">
      <sharedItems count="8">
        <s v=""/>
        <s v="Cardiology"/>
        <s v="Gastroenterology"/>
        <s v="General Practice"/>
        <s v="Neurology"/>
        <s v="Orthopedics"/>
        <s v="Physiotherapy"/>
        <s v="Renal"/>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3"/>
      </fieldsUsage>
    </cacheHierarchy>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2"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2"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2"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2"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2"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2"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2"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2" memberValueDatatype="130" unbalanced="0">
      <fieldsUsage count="2">
        <fieldUsage x="-1"/>
        <fieldUsage x="1"/>
      </fieldsUsage>
    </cacheHierarchy>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2"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2"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2"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2"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_India" uniqueName="[Hospital_Emergency_Room_Data_India]" caption="Hospital_Emergency_Room_Data_India"/>
    <dimension measure="1" name="Measures" uniqueName="[Measures]" caption="Measures"/>
  </dimensions>
  <measureGroups count="2">
    <measureGroup name="Calendar_Table" caption="Calendar_Table"/>
    <measureGroup name="Hospital_Emergency_Room_Data_India" caption="Hospital_Emergency_Room_Data_Indi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488350115738" createdVersion="3" refreshedVersion="8" minRefreshableVersion="3" recordCount="0" supportSubquery="1" supportAdvancedDrill="1" xr:uid="{7A44180C-3378-4BEA-AA98-CB8E9144BA26}">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_India].[Patient Id]" caption="Patient Id" attribute="1" defaultMemberUniqueName="[Hospital_Emergency_Room_Data_India].[Patient Id].[All]" allUniqueName="[Hospital_Emergency_Room_Data_India].[Patient Id].[All]" dimensionUniqueName="[Hospital_Emergency_Room_Data_India]" displayFolder="" count="0" memberValueDatatype="130" unbalanced="0"/>
    <cacheHierarchy uniqueName="[Hospital_Emergency_Room_Data_India].[Patient Admission Date]" caption="Patient Admission Date" attribute="1" time="1" defaultMemberUniqueName="[Hospital_Emergency_Room_Data_India].[Patient Admission Date].[All]" allUniqueName="[Hospital_Emergency_Room_Data_India].[Patient Admission Date].[All]" dimensionUniqueName="[Hospital_Emergency_Room_Data_India]" displayFolder="" count="0" memberValueDatatype="7" unbalanced="0"/>
    <cacheHierarchy uniqueName="[Hospital_Emergency_Room_Data_India].[Patient Admission Time]" caption="Patient Admission Time" attribute="1" time="1" defaultMemberUniqueName="[Hospital_Emergency_Room_Data_India].[Patient Admission Time].[All]" allUniqueName="[Hospital_Emergency_Room_Data_India].[Patient Admission Time].[All]" dimensionUniqueName="[Hospital_Emergency_Room_Data_India]" displayFolder="" count="0" memberValueDatatype="7" unbalanced="0"/>
    <cacheHierarchy uniqueName="[Hospital_Emergency_Room_Data_India].[Patient Name]" caption="Patient Name" attribute="1" defaultMemberUniqueName="[Hospital_Emergency_Room_Data_India].[Patient Name].[All]" allUniqueName="[Hospital_Emergency_Room_Data_India].[Patient Name].[All]" dimensionUniqueName="[Hospital_Emergency_Room_Data_India]" displayFolder="" count="0" memberValueDatatype="130" unbalanced="0"/>
    <cacheHierarchy uniqueName="[Hospital_Emergency_Room_Data_India].[Patient Gender]" caption="Patient Gender" attribute="1" defaultMemberUniqueName="[Hospital_Emergency_Room_Data_India].[Patient Gender].[All]" allUniqueName="[Hospital_Emergency_Room_Data_India].[Patient Gender].[All]" dimensionUniqueName="[Hospital_Emergency_Room_Data_India]" displayFolder="" count="0" memberValueDatatype="130" unbalanced="0"/>
    <cacheHierarchy uniqueName="[Hospital_Emergency_Room_Data_India].[Patient Age]" caption="Patient Age" attribute="1" defaultMemberUniqueName="[Hospital_Emergency_Room_Data_India].[Patient Age].[All]" allUniqueName="[Hospital_Emergency_Room_Data_India].[Patient Age].[All]" dimensionUniqueName="[Hospital_Emergency_Room_Data_India]" displayFolder="" count="0" memberValueDatatype="20" unbalanced="0"/>
    <cacheHierarchy uniqueName="[Hospital_Emergency_Room_Data_India].[Patient Race]" caption="Patient Race" attribute="1" defaultMemberUniqueName="[Hospital_Emergency_Room_Data_India].[Patient Race].[All]" allUniqueName="[Hospital_Emergency_Room_Data_India].[Patient Race].[All]" dimensionUniqueName="[Hospital_Emergency_Room_Data_India]" displayFolder="" count="0" memberValueDatatype="130" unbalanced="0"/>
    <cacheHierarchy uniqueName="[Hospital_Emergency_Room_Data_India].[Department Referral]" caption="Department Referral" attribute="1" defaultMemberUniqueName="[Hospital_Emergency_Room_Data_India].[Department Referral].[All]" allUniqueName="[Hospital_Emergency_Room_Data_India].[Department Referral].[All]" dimensionUniqueName="[Hospital_Emergency_Room_Data_India]" displayFolder="" count="0" memberValueDatatype="130" unbalanced="0"/>
    <cacheHierarchy uniqueName="[Hospital_Emergency_Room_Data_India].[Patient Admission Flag]" caption="Patient Admission Flag" attribute="1" defaultMemberUniqueName="[Hospital_Emergency_Room_Data_India].[Patient Admission Flag].[All]" allUniqueName="[Hospital_Emergency_Room_Data_India].[Patient Admission Flag].[All]" dimensionUniqueName="[Hospital_Emergency_Room_Data_India]" displayFolder="" count="0" memberValueDatatype="130" unbalanced="0"/>
    <cacheHierarchy uniqueName="[Hospital_Emergency_Room_Data_India].[Patient Satisfaction Score]" caption="Patient Satisfaction Score" attribute="1" defaultMemberUniqueName="[Hospital_Emergency_Room_Data_India].[Patient Satisfaction Score].[All]" allUniqueName="[Hospital_Emergency_Room_Data_India].[Patient Satisfaction Score].[All]" dimensionUniqueName="[Hospital_Emergency_Room_Data_India]" displayFolder="" count="0" memberValueDatatype="20" unbalanced="0"/>
    <cacheHierarchy uniqueName="[Hospital_Emergency_Room_Data_India].[Patient Waittime]" caption="Patient Waittime" attribute="1" defaultMemberUniqueName="[Hospital_Emergency_Room_Data_India].[Patient Waittime].[All]" allUniqueName="[Hospital_Emergency_Room_Data_India].[Patient Waittime].[All]" dimensionUniqueName="[Hospital_Emergency_Room_Data_India]" displayFolder="" count="0" memberValueDatatype="20" unbalanced="0"/>
    <cacheHierarchy uniqueName="[Hospital_Emergency_Room_Data_India].[Age Group]" caption="Age Group" attribute="1" defaultMemberUniqueName="[Hospital_Emergency_Room_Data_India].[Age Group].[All]" allUniqueName="[Hospital_Emergency_Room_Data_India].[Age Group].[All]" dimensionUniqueName="[Hospital_Emergency_Room_Data_India]" displayFolder="" count="0" memberValueDatatype="130" unbalanced="0"/>
    <cacheHierarchy uniqueName="[Hospital_Emergency_Room_Data_India].[Patient Attend Status]" caption="Patient Attend Status" attribute="1" defaultMemberUniqueName="[Hospital_Emergency_Room_Data_India].[Patient Attend Status].[All]" allUniqueName="[Hospital_Emergency_Room_Data_India].[Patient Attend Status].[All]" dimensionUniqueName="[Hospital_Emergency_Room_Data_Indi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_India]" caption="__XL_Count Hospital_Emergency_Room_Data_India" measure="1" displayFolder="" measureGroup="Hospital_Emergency_Room_Data_Indi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Indi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Indi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Indi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Indi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_Indi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_Indi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_Indi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_Emergency_Room_Data_Indi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005532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7554CA-F6CD-46D6-B6A5-750C3BD44C0E}" name="PivotTable5" cacheId="891" applyNumberFormats="0" applyBorderFormats="0" applyFontFormats="0" applyPatternFormats="0" applyAlignmentFormats="0" applyWidthHeightFormats="1" dataCaption="Values" tag="9a106cb5-f9ae-4630-90c8-c3b0fcbc38e5" updatedVersion="8" minRefreshableVersion="3" subtotalHiddenItems="1" itemPrintTitles="1" createdVersion="5" indent="0" outline="1" outlineData="1" multipleFieldFilters="0" chartFormat="40">
  <location ref="H4:I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Satisfaction Score" fld="2" baseField="0" baseItem="0"/>
  </dataFields>
  <formats count="2">
    <format dxfId="576">
      <pivotArea collapsedLevelsAreSubtotals="1" fieldPosition="0">
        <references count="1">
          <reference field="0" count="1">
            <x v="30"/>
          </reference>
        </references>
      </pivotArea>
    </format>
    <format dxfId="575">
      <pivotArea outline="0" collapsedLevelsAreSubtotals="1" fieldPosition="0"/>
    </format>
  </formats>
  <chartFormats count="4">
    <chartFormat chart="35" format="7"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37" format="9"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9BF4B2-3ECE-4708-82F7-039DD6C00242}" name="PivotTable4" cacheId="879" applyNumberFormats="0" applyBorderFormats="0" applyFontFormats="0" applyPatternFormats="0" applyAlignmentFormats="0" applyWidthHeightFormats="1" dataCaption="Values" tag="19218e05-917e-40cb-8edd-b75de729ec35" updatedVersion="8" minRefreshableVersion="3" subtotalHiddenItems="1" itemPrintTitles="1" createdVersion="5" indent="0" outline="1" outlineData="1" multipleFieldFilters="0" chartFormat="31">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4"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A0C0C9-4334-4594-B128-867C01130FD2}" name="PivotTable1" cacheId="882" applyNumberFormats="0" applyBorderFormats="0" applyFontFormats="0" applyPatternFormats="0" applyAlignmentFormats="0" applyWidthHeightFormats="1" dataCaption="Values" tag="b97b38bd-dcae-46eb-a050-52354313d1d1"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90E166-B0CD-43E7-BE3B-7B68EB6E011F}" name="PivotTable12" cacheId="912" applyNumberFormats="0" applyBorderFormats="0" applyFontFormats="0" applyPatternFormats="0" applyAlignmentFormats="0" applyWidthHeightFormats="1" dataCaption="Values" tag="cf7d185a-7578-40f2-8ac5-a75a5aa7330d" updatedVersion="8" minRefreshableVersion="3" subtotalHiddenItems="1" itemPrintTitles="1" createdVersion="5" indent="0" outline="1" outlineData="1" multipleFieldFilters="0" chartFormat="81">
  <location ref="A90:A92" firstHeaderRow="1" firstDataRow="1" firstDataCol="1"/>
  <pivotFields count="5">
    <pivotField axis="axisRow" allDrilled="1" subtotalTop="0" showAll="0" dataSourceSort="1" defaultSubtotal="0">
      <items count="1">
        <item x="0" e="0"/>
      </items>
    </pivotField>
    <pivotField allDrilled="1" subtotalTop="0" showAll="0" defaultSubtotal="0" defaultAttributeDrillState="1">
      <items count="8">
        <item n="None" x="0"/>
        <item x="1"/>
        <item x="2"/>
        <item x="3"/>
        <item x="4"/>
        <item x="5"/>
        <item x="6"/>
        <item x="7"/>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1">
    <format dxfId="577">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B27946-9F1A-4548-AFB5-6AD15D0EBA0D}" name="PivotTable6" cacheId="894" applyNumberFormats="0" applyBorderFormats="0" applyFontFormats="0" applyPatternFormats="0" applyAlignmentFormats="0" applyWidthHeightFormats="1" dataCaption="Values" tag="783d97c4-b854-4b81-8816-761f62e32447" updatedVersion="8" minRefreshableVersion="3" subtotalHiddenItems="1" itemPrintTitles="1" createdVersion="5" indent="0" outline="1" outlineData="1" multipleFieldFilters="0">
  <location ref="A18:B19" firstHeaderRow="0" firstDataRow="1" firstDataCol="0"/>
  <pivotFields count="4">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Patient Waittime" fld="0" subtotal="average" baseField="0" baseItem="0" numFmtId="2"/>
    <dataField name="Count of Patient Admission Flag" fld="2" subtotal="count" baseField="0" baseItem="0"/>
  </dataFields>
  <formats count="1">
    <format dxfId="578">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42D161-16DE-4B70-88F9-AE6DC7C92540}" name="PivotTable2" cacheId="885" applyNumberFormats="0" applyBorderFormats="0" applyFontFormats="0" applyPatternFormats="0" applyAlignmentFormats="0" applyWidthHeightFormats="1" dataCaption="Values" tag="783d97c4-b854-4b81-8816-761f62e32447"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79">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18627A-5114-44B3-9501-E08B1C27D4D4}" name="PivotTable11" cacheId="909" applyNumberFormats="0" applyBorderFormats="0" applyFontFormats="0" applyPatternFormats="0" applyAlignmentFormats="0" applyWidthHeightFormats="1" dataCaption="Values" tag="cf7d185a-7578-40f2-8ac5-a75a5aa7330d" updatedVersion="8" minRefreshableVersion="3" subtotalHiddenItems="1" itemPrintTitles="1" createdVersion="5" indent="0" outline="1" outlineData="1" multipleFieldFilters="0" chartFormat="81">
  <location ref="A77:B8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n="None"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4"/>
    </i>
    <i>
      <x v="2"/>
    </i>
    <i>
      <x v="1"/>
    </i>
    <i>
      <x v="6"/>
    </i>
    <i>
      <x v="5"/>
    </i>
    <i>
      <x v="3"/>
    </i>
    <i>
      <x/>
    </i>
    <i t="grand">
      <x/>
    </i>
  </rowItems>
  <colItems count="1">
    <i/>
  </colItems>
  <dataFields count="1">
    <dataField name="Count of Department Referral" fld="2" subtotal="count" baseField="0" baseItem="0"/>
  </dataFields>
  <formats count="2">
    <format dxfId="581">
      <pivotArea outline="0" collapsedLevelsAreSubtotals="1" fieldPosition="0"/>
    </format>
    <format dxfId="580">
      <pivotArea collapsedLevelsAreSubtotals="1" fieldPosition="0">
        <references count="1">
          <reference field="1" count="0"/>
        </references>
      </pivotArea>
    </format>
  </formats>
  <chartFormats count="1">
    <chartFormat chart="8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1417BA-AA46-4E0E-80CA-893A0BF250C6}" name="PivotTable7" cacheId="897" applyNumberFormats="0" applyBorderFormats="0" applyFontFormats="0" applyPatternFormats="0" applyAlignmentFormats="0" applyWidthHeightFormats="1" dataCaption="Values" tag="cf7d185a-7578-40f2-8ac5-a75a5aa7330d" updatedVersion="8" minRefreshableVersion="3" subtotalHiddenItems="1" itemPrintTitles="1" createdVersion="5" indent="0" outline="1" outlineData="1" multipleFieldFilters="0" chartFormat="42">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2" baseItem="0">
      <extLst>
        <ext xmlns:x14="http://schemas.microsoft.com/office/spreadsheetml/2009/9/main" uri="{E15A36E0-9728-4e99-A89B-3F7291B0FE68}">
          <x14:dataField sourceField="1" uniqueName="[__Xl2].[Measures].[Count of Patient Admission Flag]"/>
        </ext>
      </extLst>
    </dataField>
    <dataField name="Count of Patient Admission Flag2" fld="4" subtotal="count" showDataAs="percentOfTotal" baseField="2" baseItem="0" numFmtId="10">
      <extLst>
        <ext xmlns:x14="http://schemas.microsoft.com/office/spreadsheetml/2009/9/main" uri="{E15A36E0-9728-4e99-A89B-3F7291B0FE68}">
          <x14:dataField sourceField="1"/>
        </ext>
      </extLst>
    </dataField>
  </dataFields>
  <formats count="4">
    <format dxfId="585">
      <pivotArea outline="0" collapsedLevelsAreSubtotals="1" fieldPosition="0"/>
    </format>
    <format dxfId="584">
      <pivotArea outline="0" fieldPosition="0">
        <references count="1">
          <reference field="4294967294" count="1">
            <x v="1"/>
          </reference>
        </references>
      </pivotArea>
    </format>
    <format dxfId="583">
      <pivotArea collapsedLevelsAreSubtotals="1" fieldPosition="0">
        <references count="2">
          <reference field="4294967294" count="1" selected="0">
            <x v="0"/>
          </reference>
          <reference field="2" count="1">
            <x v="0"/>
          </reference>
        </references>
      </pivotArea>
    </format>
    <format dxfId="582">
      <pivotArea collapsedLevelsAreSubtotals="1" fieldPosition="0">
        <references count="2">
          <reference field="4294967294" count="1" selected="0">
            <x v="0"/>
          </reference>
          <reference field="2" count="1">
            <x v="1"/>
          </reference>
        </references>
      </pivotArea>
    </format>
  </formats>
  <chartFormats count="4">
    <chartFormat chart="35" format="1"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1"/>
          </reference>
          <reference field="2" count="1" selected="0">
            <x v="1"/>
          </reference>
        </references>
      </pivotArea>
    </chartFormat>
    <chartFormat chart="35" format="6">
      <pivotArea type="data" outline="0" fieldPosition="0">
        <references count="2">
          <reference field="4294967294" count="1" selected="0">
            <x v="1"/>
          </reference>
          <reference field="2"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188D6E-D303-411A-9FA1-9143DEA41EF9}" name="PivotTable10" cacheId="906" applyNumberFormats="0" applyBorderFormats="0" applyFontFormats="0" applyPatternFormats="0" applyAlignmentFormats="0" applyWidthHeightFormats="1" dataCaption="Values" tag="cf7d185a-7578-40f2-8ac5-a75a5aa7330d" updatedVersion="8" minRefreshableVersion="3" subtotalHiddenItems="1" itemPrintTitles="1" createdVersion="5" indent="0" outline="1" outlineData="1" multipleFieldFilters="0" chartFormat="68">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3">
    <format dxfId="588">
      <pivotArea outline="0" collapsedLevelsAreSubtotals="1" fieldPosition="0"/>
    </format>
    <format dxfId="587">
      <pivotArea collapsedLevelsAreSubtotals="1" fieldPosition="0">
        <references count="1">
          <reference field="1" count="1">
            <x v="0"/>
          </reference>
        </references>
      </pivotArea>
    </format>
    <format dxfId="586">
      <pivotArea collapsedLevelsAreSubtotals="1" fieldPosition="0">
        <references count="1">
          <reference field="1" count="1">
            <x v="1"/>
          </reference>
        </references>
      </pivotArea>
    </format>
  </formats>
  <chartFormats count="6">
    <chartFormat chart="65" format="0" series="1">
      <pivotArea type="data" outline="0" fieldPosition="0">
        <references count="1">
          <reference field="4294967294" count="1" selected="0">
            <x v="0"/>
          </reference>
        </references>
      </pivotArea>
    </chartFormat>
    <chartFormat chart="65" format="1">
      <pivotArea type="data" outline="0" fieldPosition="0">
        <references count="2">
          <reference field="4294967294" count="1" selected="0">
            <x v="0"/>
          </reference>
          <reference field="1" count="1" selected="0">
            <x v="1"/>
          </reference>
        </references>
      </pivotArea>
    </chartFormat>
    <chartFormat chart="65" format="2">
      <pivotArea type="data" outline="0" fieldPosition="0">
        <references count="2">
          <reference field="4294967294" count="1" selected="0">
            <x v="0"/>
          </reference>
          <reference field="1" count="1" selected="0">
            <x v="0"/>
          </reference>
        </references>
      </pivotArea>
    </chartFormat>
    <chartFormat chart="67" format="6" series="1">
      <pivotArea type="data" outline="0" fieldPosition="0">
        <references count="1">
          <reference field="4294967294" count="1" selected="0">
            <x v="0"/>
          </reference>
        </references>
      </pivotArea>
    </chartFormat>
    <chartFormat chart="67" format="7">
      <pivotArea type="data" outline="0" fieldPosition="0">
        <references count="2">
          <reference field="4294967294" count="1" selected="0">
            <x v="0"/>
          </reference>
          <reference field="1" count="1" selected="0">
            <x v="0"/>
          </reference>
        </references>
      </pivotArea>
    </chartFormat>
    <chartFormat chart="67" format="8">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D32752-F86F-4833-9E93-CE766DB770C2}" name="PivotTable9" cacheId="903" applyNumberFormats="0" applyBorderFormats="0" applyFontFormats="0" applyPatternFormats="0" applyAlignmentFormats="0" applyWidthHeightFormats="1" dataCaption="Values" tag="cf7d185a-7578-40f2-8ac5-a75a5aa7330d" updatedVersion="8" minRefreshableVersion="3" subtotalHiddenItems="1" itemPrintTitles="1" createdVersion="5" indent="0" outline="1" outlineData="1" multipleFieldFilters="0" chartFormat="68">
  <location ref="A65: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showDataAs="percentOfTotal" baseField="1" baseItem="0" numFmtId="10"/>
  </dataFields>
  <formats count="4">
    <format dxfId="592">
      <pivotArea outline="0" collapsedLevelsAreSubtotals="1" fieldPosition="0"/>
    </format>
    <format dxfId="591">
      <pivotArea outline="0" fieldPosition="0">
        <references count="1">
          <reference field="4294967294" count="1">
            <x v="0"/>
          </reference>
        </references>
      </pivotArea>
    </format>
    <format dxfId="590">
      <pivotArea collapsedLevelsAreSubtotals="1" fieldPosition="0">
        <references count="1">
          <reference field="1" count="1">
            <x v="0"/>
          </reference>
        </references>
      </pivotArea>
    </format>
    <format dxfId="589">
      <pivotArea collapsedLevelsAreSubtotals="1" fieldPosition="0">
        <references count="1">
          <reference field="1" count="1">
            <x v="1"/>
          </reference>
        </references>
      </pivotArea>
    </format>
  </formats>
  <chartFormats count="3">
    <chartFormat chart="64" format="4" series="1">
      <pivotArea type="data" outline="0" fieldPosition="0">
        <references count="1">
          <reference field="4294967294" count="1" selected="0">
            <x v="0"/>
          </reference>
        </references>
      </pivotArea>
    </chartFormat>
    <chartFormat chart="64" format="5">
      <pivotArea type="data" outline="0" fieldPosition="0">
        <references count="2">
          <reference field="4294967294" count="1" selected="0">
            <x v="0"/>
          </reference>
          <reference field="1" count="1" selected="0">
            <x v="0"/>
          </reference>
        </references>
      </pivotArea>
    </chartFormat>
    <chartFormat chart="6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5589A5-F02F-49CF-9FC9-80372749172E}" name="PivotTable3" cacheId="888" applyNumberFormats="0" applyBorderFormats="0" applyFontFormats="0" applyPatternFormats="0" applyAlignmentFormats="0" applyWidthHeightFormats="1" dataCaption="Values" tag="cf7d185a-7578-40f2-8ac5-a75a5aa7330d"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93">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576A66B-6D1A-4C8C-8CD4-01C9A6859E42}" name="PivotTable8" cacheId="900" applyNumberFormats="0" applyBorderFormats="0" applyFontFormats="0" applyPatternFormats="0" applyAlignmentFormats="0" applyWidthHeightFormats="1" dataCaption="Values" tag="cf7d185a-7578-40f2-8ac5-a75a5aa7330d" updatedVersion="8" minRefreshableVersion="3" subtotalHiddenItems="1" itemPrintTitles="1" createdVersion="5" indent="0" outline="1" outlineData="1" multipleFieldFilters="0" chartFormat="48">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4">
    <format dxfId="597">
      <pivotArea outline="0" collapsedLevelsAreSubtotals="1" fieldPosition="0"/>
    </format>
    <format dxfId="596">
      <pivotArea collapsedLevelsAreSubtotals="1" fieldPosition="0">
        <references count="1">
          <reference field="1" count="1">
            <x v="0"/>
          </reference>
        </references>
      </pivotArea>
    </format>
    <format dxfId="595">
      <pivotArea collapsedLevelsAreSubtotals="1" fieldPosition="0">
        <references count="1">
          <reference field="1" count="1">
            <x v="1"/>
          </reference>
        </references>
      </pivotArea>
    </format>
    <format dxfId="594">
      <pivotArea collapsedLevelsAreSubtotals="1" fieldPosition="0">
        <references count="1">
          <reference field="1" count="6">
            <x v="2"/>
            <x v="3"/>
            <x v="4"/>
            <x v="5"/>
            <x v="6"/>
            <x v="7"/>
          </reference>
        </references>
      </pivotArea>
    </format>
  </formats>
  <chartFormats count="1">
    <chartFormat chart="4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Indi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D7280ED-D705-449A-99A3-D1C129F846C8}"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400553232">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562DC2C-1C08-4E97-99BA-BCEF75C88CAC}"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40055323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1D5A075B-1281-4FF4-A843-1C8F932F826D}" cache="Slicer_Date__Year" caption="Date (Year)" columnCount="2" showCaption="0" level="1"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63D898FE-463D-4E1E-A005-3B7ABB362A15}" cache="Slicer_Date__Month" caption="Date (Month)" showCaption="0" level="1" style="My style" rowHeight="252000"/>
  <slicer name="Date (Year) 1" xr10:uid="{7F4B62E5-864B-4FF4-A666-45542C12DFA0}" cache="Slicer_Date__Year" caption="Date (Year)" showCaption="0" level="1" style="My style"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D224A-6134-4B6C-8172-BA54D716B7DD}">
  <dimension ref="A3:I92"/>
  <sheetViews>
    <sheetView topLeftCell="A73" workbookViewId="0">
      <selection activeCell="C85" sqref="C84:C85"/>
    </sheetView>
  </sheetViews>
  <sheetFormatPr defaultRowHeight="14.4" x14ac:dyDescent="0.3"/>
  <cols>
    <col min="1" max="1" width="32.44140625" bestFit="1" customWidth="1"/>
    <col min="2" max="2" width="28.109375" bestFit="1" customWidth="1"/>
    <col min="3" max="3" width="7.77734375" customWidth="1"/>
    <col min="4" max="4" width="13" customWidth="1"/>
    <col min="8" max="8" width="12.5546875" bestFit="1" customWidth="1"/>
    <col min="9" max="9" width="23.88671875" bestFit="1" customWidth="1"/>
  </cols>
  <sheetData>
    <row r="3" spans="1:9" x14ac:dyDescent="0.3">
      <c r="A3" t="s">
        <v>1</v>
      </c>
    </row>
    <row r="4" spans="1:9" x14ac:dyDescent="0.3">
      <c r="A4" t="s">
        <v>0</v>
      </c>
      <c r="C4" s="1" t="s">
        <v>4</v>
      </c>
      <c r="D4" t="s">
        <v>0</v>
      </c>
      <c r="H4" s="1" t="s">
        <v>4</v>
      </c>
      <c r="I4" t="s">
        <v>8</v>
      </c>
    </row>
    <row r="5" spans="1:9" x14ac:dyDescent="0.3">
      <c r="A5" s="20">
        <v>480</v>
      </c>
      <c r="C5" s="4" t="s">
        <v>42</v>
      </c>
      <c r="D5" s="20">
        <v>20</v>
      </c>
      <c r="H5" s="4" t="s">
        <v>42</v>
      </c>
      <c r="I5" s="2">
        <v>11</v>
      </c>
    </row>
    <row r="6" spans="1:9" x14ac:dyDescent="0.3">
      <c r="C6" s="4" t="s">
        <v>43</v>
      </c>
      <c r="D6" s="20">
        <v>16</v>
      </c>
      <c r="H6" s="4" t="s">
        <v>43</v>
      </c>
      <c r="I6" s="2">
        <v>20</v>
      </c>
    </row>
    <row r="7" spans="1:9" x14ac:dyDescent="0.3">
      <c r="C7" s="4" t="s">
        <v>44</v>
      </c>
      <c r="D7" s="20">
        <v>20</v>
      </c>
      <c r="H7" s="4" t="s">
        <v>44</v>
      </c>
      <c r="I7" s="2">
        <v>30</v>
      </c>
    </row>
    <row r="8" spans="1:9" x14ac:dyDescent="0.3">
      <c r="C8" s="4" t="s">
        <v>45</v>
      </c>
      <c r="D8" s="20">
        <v>16</v>
      </c>
      <c r="H8" s="4" t="s">
        <v>45</v>
      </c>
      <c r="I8" s="2">
        <v>24</v>
      </c>
    </row>
    <row r="9" spans="1:9" x14ac:dyDescent="0.3">
      <c r="A9" t="s">
        <v>2</v>
      </c>
      <c r="C9" s="4" t="s">
        <v>46</v>
      </c>
      <c r="D9" s="20">
        <v>18</v>
      </c>
      <c r="H9" s="4" t="s">
        <v>46</v>
      </c>
      <c r="I9" s="2">
        <v>22</v>
      </c>
    </row>
    <row r="10" spans="1:9" x14ac:dyDescent="0.3">
      <c r="A10" s="2">
        <v>34.429166666666667</v>
      </c>
      <c r="C10" s="4" t="s">
        <v>47</v>
      </c>
      <c r="D10" s="20">
        <v>16</v>
      </c>
      <c r="H10" s="4" t="s">
        <v>47</v>
      </c>
      <c r="I10" s="2">
        <v>21</v>
      </c>
    </row>
    <row r="11" spans="1:9" x14ac:dyDescent="0.3">
      <c r="C11" s="4" t="s">
        <v>48</v>
      </c>
      <c r="D11" s="20">
        <v>15</v>
      </c>
      <c r="H11" s="4" t="s">
        <v>48</v>
      </c>
      <c r="I11" s="2">
        <v>24</v>
      </c>
    </row>
    <row r="12" spans="1:9" x14ac:dyDescent="0.3">
      <c r="C12" s="4" t="s">
        <v>49</v>
      </c>
      <c r="D12" s="20">
        <v>20</v>
      </c>
      <c r="H12" s="4" t="s">
        <v>49</v>
      </c>
      <c r="I12" s="2">
        <v>18</v>
      </c>
    </row>
    <row r="13" spans="1:9" x14ac:dyDescent="0.3">
      <c r="A13" t="s">
        <v>3</v>
      </c>
      <c r="C13" s="4" t="s">
        <v>50</v>
      </c>
      <c r="D13" s="20">
        <v>20</v>
      </c>
      <c r="H13" s="4" t="s">
        <v>50</v>
      </c>
      <c r="I13" s="2">
        <v>25</v>
      </c>
    </row>
    <row r="14" spans="1:9" x14ac:dyDescent="0.3">
      <c r="A14" s="2">
        <v>5.1640625</v>
      </c>
      <c r="C14" s="4" t="s">
        <v>51</v>
      </c>
      <c r="D14" s="20">
        <v>13</v>
      </c>
      <c r="H14" s="4" t="s">
        <v>51</v>
      </c>
      <c r="I14" s="2">
        <v>16</v>
      </c>
    </row>
    <row r="15" spans="1:9" x14ac:dyDescent="0.3">
      <c r="C15" s="4" t="s">
        <v>52</v>
      </c>
      <c r="D15" s="20">
        <v>18</v>
      </c>
      <c r="H15" s="4" t="s">
        <v>52</v>
      </c>
      <c r="I15" s="2">
        <v>22</v>
      </c>
    </row>
    <row r="16" spans="1:9" x14ac:dyDescent="0.3">
      <c r="C16" s="4" t="s">
        <v>53</v>
      </c>
      <c r="D16" s="20">
        <v>11</v>
      </c>
      <c r="H16" s="4" t="s">
        <v>53</v>
      </c>
      <c r="I16" s="2">
        <v>13</v>
      </c>
    </row>
    <row r="17" spans="1:9" x14ac:dyDescent="0.3">
      <c r="C17" s="4" t="s">
        <v>54</v>
      </c>
      <c r="D17" s="20">
        <v>13</v>
      </c>
      <c r="H17" s="4" t="s">
        <v>54</v>
      </c>
      <c r="I17" s="2">
        <v>18</v>
      </c>
    </row>
    <row r="18" spans="1:9" x14ac:dyDescent="0.3">
      <c r="A18" t="s">
        <v>2</v>
      </c>
      <c r="B18" t="s">
        <v>10</v>
      </c>
      <c r="C18" s="4" t="s">
        <v>55</v>
      </c>
      <c r="D18" s="20">
        <v>14</v>
      </c>
      <c r="H18" s="4" t="s">
        <v>55</v>
      </c>
      <c r="I18" s="2">
        <v>10</v>
      </c>
    </row>
    <row r="19" spans="1:9" x14ac:dyDescent="0.3">
      <c r="A19" s="2">
        <v>34.429166666666667</v>
      </c>
      <c r="B19" s="2">
        <v>480</v>
      </c>
      <c r="C19" s="4" t="s">
        <v>56</v>
      </c>
      <c r="D19" s="20">
        <v>7</v>
      </c>
      <c r="H19" s="4" t="s">
        <v>57</v>
      </c>
      <c r="I19" s="2">
        <v>67</v>
      </c>
    </row>
    <row r="20" spans="1:9" x14ac:dyDescent="0.3">
      <c r="C20" s="4" t="s">
        <v>57</v>
      </c>
      <c r="D20" s="20">
        <v>21</v>
      </c>
      <c r="H20" s="4" t="s">
        <v>58</v>
      </c>
      <c r="I20" s="2">
        <v>62</v>
      </c>
    </row>
    <row r="21" spans="1:9" x14ac:dyDescent="0.3">
      <c r="C21" s="4" t="s">
        <v>58</v>
      </c>
      <c r="D21" s="20">
        <v>16</v>
      </c>
      <c r="H21" s="4" t="s">
        <v>59</v>
      </c>
      <c r="I21" s="2">
        <v>11</v>
      </c>
    </row>
    <row r="22" spans="1:9" x14ac:dyDescent="0.3">
      <c r="C22" s="4" t="s">
        <v>59</v>
      </c>
      <c r="D22" s="20">
        <v>15</v>
      </c>
      <c r="H22" s="4" t="s">
        <v>60</v>
      </c>
      <c r="I22" s="2">
        <v>9</v>
      </c>
    </row>
    <row r="23" spans="1:9" x14ac:dyDescent="0.3">
      <c r="C23" s="4" t="s">
        <v>60</v>
      </c>
      <c r="D23" s="20">
        <v>15</v>
      </c>
      <c r="H23" s="4" t="s">
        <v>61</v>
      </c>
      <c r="I23" s="2">
        <v>30</v>
      </c>
    </row>
    <row r="24" spans="1:9" x14ac:dyDescent="0.3">
      <c r="C24" s="4" t="s">
        <v>61</v>
      </c>
      <c r="D24" s="20">
        <v>14</v>
      </c>
      <c r="H24" s="4" t="s">
        <v>62</v>
      </c>
      <c r="I24" s="2">
        <v>23</v>
      </c>
    </row>
    <row r="25" spans="1:9" x14ac:dyDescent="0.3">
      <c r="C25" s="4" t="s">
        <v>62</v>
      </c>
      <c r="D25" s="20">
        <v>16</v>
      </c>
      <c r="H25" s="4" t="s">
        <v>63</v>
      </c>
      <c r="I25" s="2">
        <v>22</v>
      </c>
    </row>
    <row r="26" spans="1:9" x14ac:dyDescent="0.3">
      <c r="C26" s="4" t="s">
        <v>63</v>
      </c>
      <c r="D26" s="20">
        <v>21</v>
      </c>
      <c r="H26" s="4" t="s">
        <v>64</v>
      </c>
      <c r="I26" s="2">
        <v>28</v>
      </c>
    </row>
    <row r="27" spans="1:9" x14ac:dyDescent="0.3">
      <c r="C27" s="4" t="s">
        <v>64</v>
      </c>
      <c r="D27" s="20">
        <v>13</v>
      </c>
      <c r="H27" s="4" t="s">
        <v>65</v>
      </c>
      <c r="I27" s="2">
        <v>13</v>
      </c>
    </row>
    <row r="28" spans="1:9" x14ac:dyDescent="0.3">
      <c r="C28" s="4" t="s">
        <v>65</v>
      </c>
      <c r="D28" s="20">
        <v>11</v>
      </c>
      <c r="H28" s="4" t="s">
        <v>66</v>
      </c>
      <c r="I28" s="2">
        <v>12</v>
      </c>
    </row>
    <row r="29" spans="1:9" x14ac:dyDescent="0.3">
      <c r="C29" s="4" t="s">
        <v>66</v>
      </c>
      <c r="D29" s="20">
        <v>16</v>
      </c>
      <c r="H29" s="4" t="s">
        <v>67</v>
      </c>
      <c r="I29" s="2">
        <v>22</v>
      </c>
    </row>
    <row r="30" spans="1:9" x14ac:dyDescent="0.3">
      <c r="C30" s="4" t="s">
        <v>67</v>
      </c>
      <c r="D30" s="20">
        <v>11</v>
      </c>
      <c r="H30" s="4" t="s">
        <v>68</v>
      </c>
      <c r="I30" s="2">
        <v>16</v>
      </c>
    </row>
    <row r="31" spans="1:9" x14ac:dyDescent="0.3">
      <c r="C31" s="4" t="s">
        <v>68</v>
      </c>
      <c r="D31" s="20">
        <v>14</v>
      </c>
      <c r="H31" s="4" t="s">
        <v>69</v>
      </c>
      <c r="I31" s="2">
        <v>19</v>
      </c>
    </row>
    <row r="32" spans="1:9" x14ac:dyDescent="0.3">
      <c r="C32" s="4" t="s">
        <v>69</v>
      </c>
      <c r="D32" s="20">
        <v>10</v>
      </c>
      <c r="H32" s="4" t="s">
        <v>70</v>
      </c>
      <c r="I32" s="2">
        <v>12</v>
      </c>
    </row>
    <row r="33" spans="1:9" x14ac:dyDescent="0.3">
      <c r="C33" s="4" t="s">
        <v>70</v>
      </c>
      <c r="D33" s="20">
        <v>15</v>
      </c>
      <c r="H33" s="4" t="s">
        <v>71</v>
      </c>
      <c r="I33" s="2">
        <v>16</v>
      </c>
    </row>
    <row r="34" spans="1:9" x14ac:dyDescent="0.3">
      <c r="C34" s="4" t="s">
        <v>71</v>
      </c>
      <c r="D34" s="20">
        <v>24</v>
      </c>
      <c r="H34" s="4" t="s">
        <v>72</v>
      </c>
      <c r="I34" s="2">
        <v>25</v>
      </c>
    </row>
    <row r="35" spans="1:9" x14ac:dyDescent="0.3">
      <c r="C35" s="4" t="s">
        <v>72</v>
      </c>
      <c r="D35" s="20">
        <v>11</v>
      </c>
      <c r="H35" s="4" t="s">
        <v>5</v>
      </c>
      <c r="I35" s="2">
        <v>661</v>
      </c>
    </row>
    <row r="36" spans="1:9" x14ac:dyDescent="0.3">
      <c r="C36" s="4" t="s">
        <v>5</v>
      </c>
      <c r="D36" s="20">
        <v>480</v>
      </c>
    </row>
    <row r="41" spans="1:9" x14ac:dyDescent="0.3">
      <c r="A41" s="1" t="s">
        <v>4</v>
      </c>
      <c r="B41" t="s">
        <v>10</v>
      </c>
      <c r="C41" t="s">
        <v>13</v>
      </c>
    </row>
    <row r="42" spans="1:9" x14ac:dyDescent="0.3">
      <c r="A42" s="4" t="s">
        <v>11</v>
      </c>
      <c r="B42" s="20">
        <v>229</v>
      </c>
      <c r="C42" s="6">
        <v>0.47708333333333336</v>
      </c>
    </row>
    <row r="43" spans="1:9" x14ac:dyDescent="0.3">
      <c r="A43" s="4" t="s">
        <v>12</v>
      </c>
      <c r="B43" s="20">
        <v>251</v>
      </c>
      <c r="C43" s="6">
        <v>0.5229166666666667</v>
      </c>
    </row>
    <row r="44" spans="1:9" x14ac:dyDescent="0.3">
      <c r="A44" s="4" t="s">
        <v>5</v>
      </c>
      <c r="B44" s="2">
        <v>480</v>
      </c>
      <c r="C44" s="6">
        <v>1</v>
      </c>
    </row>
    <row r="48" spans="1:9" x14ac:dyDescent="0.3">
      <c r="A48" s="8" t="s">
        <v>14</v>
      </c>
      <c r="B48" s="8" t="s">
        <v>1</v>
      </c>
      <c r="C48" s="9" t="s">
        <v>15</v>
      </c>
      <c r="D48" s="10"/>
      <c r="E48" s="11"/>
    </row>
    <row r="49" spans="1:5" x14ac:dyDescent="0.3">
      <c r="A49" s="12" t="str">
        <f>A43</f>
        <v>Not-Admitted</v>
      </c>
      <c r="B49" s="13">
        <f>B43</f>
        <v>251</v>
      </c>
      <c r="C49" s="14">
        <f>C43</f>
        <v>0.5229166666666667</v>
      </c>
      <c r="D49" s="11"/>
      <c r="E49" s="11"/>
    </row>
    <row r="50" spans="1:5" x14ac:dyDescent="0.3">
      <c r="A50" s="12" t="str">
        <f>A42</f>
        <v>Admitted</v>
      </c>
      <c r="B50" s="13">
        <f>B42</f>
        <v>229</v>
      </c>
      <c r="C50" s="14">
        <f>C42</f>
        <v>0.47708333333333336</v>
      </c>
      <c r="D50" s="11"/>
      <c r="E50" s="11"/>
    </row>
    <row r="52" spans="1:5" x14ac:dyDescent="0.3">
      <c r="A52" t="s">
        <v>25</v>
      </c>
    </row>
    <row r="53" spans="1:5" x14ac:dyDescent="0.3">
      <c r="A53" s="1" t="s">
        <v>4</v>
      </c>
      <c r="B53" t="s">
        <v>24</v>
      </c>
    </row>
    <row r="54" spans="1:5" x14ac:dyDescent="0.3">
      <c r="A54" s="4" t="s">
        <v>16</v>
      </c>
      <c r="B54" s="15">
        <v>63</v>
      </c>
    </row>
    <row r="55" spans="1:5" x14ac:dyDescent="0.3">
      <c r="A55" s="4" t="s">
        <v>17</v>
      </c>
      <c r="B55" s="15">
        <v>49</v>
      </c>
    </row>
    <row r="56" spans="1:5" x14ac:dyDescent="0.3">
      <c r="A56" s="4" t="s">
        <v>18</v>
      </c>
      <c r="B56" s="15">
        <v>57</v>
      </c>
    </row>
    <row r="57" spans="1:5" x14ac:dyDescent="0.3">
      <c r="A57" s="4" t="s">
        <v>19</v>
      </c>
      <c r="B57" s="15">
        <v>73</v>
      </c>
    </row>
    <row r="58" spans="1:5" x14ac:dyDescent="0.3">
      <c r="A58" s="4" t="s">
        <v>20</v>
      </c>
      <c r="B58" s="15">
        <v>63</v>
      </c>
    </row>
    <row r="59" spans="1:5" x14ac:dyDescent="0.3">
      <c r="A59" s="4" t="s">
        <v>21</v>
      </c>
      <c r="B59" s="15">
        <v>60</v>
      </c>
    </row>
    <row r="60" spans="1:5" x14ac:dyDescent="0.3">
      <c r="A60" s="4" t="s">
        <v>22</v>
      </c>
      <c r="B60" s="15">
        <v>57</v>
      </c>
    </row>
    <row r="61" spans="1:5" x14ac:dyDescent="0.3">
      <c r="A61" s="4" t="s">
        <v>23</v>
      </c>
      <c r="B61" s="15">
        <v>58</v>
      </c>
    </row>
    <row r="62" spans="1:5" x14ac:dyDescent="0.3">
      <c r="A62" s="4" t="s">
        <v>5</v>
      </c>
      <c r="B62" s="2">
        <v>480</v>
      </c>
    </row>
    <row r="65" spans="1:2" x14ac:dyDescent="0.3">
      <c r="A65" s="1" t="s">
        <v>4</v>
      </c>
      <c r="B65" t="s">
        <v>29</v>
      </c>
    </row>
    <row r="66" spans="1:2" x14ac:dyDescent="0.3">
      <c r="A66" s="4" t="s">
        <v>28</v>
      </c>
      <c r="B66" s="7">
        <v>0.55625000000000002</v>
      </c>
    </row>
    <row r="67" spans="1:2" x14ac:dyDescent="0.3">
      <c r="A67" s="4" t="s">
        <v>27</v>
      </c>
      <c r="B67" s="7">
        <v>0.44374999999999998</v>
      </c>
    </row>
    <row r="68" spans="1:2" x14ac:dyDescent="0.3">
      <c r="A68" s="4" t="s">
        <v>5</v>
      </c>
      <c r="B68" s="6">
        <v>1</v>
      </c>
    </row>
    <row r="71" spans="1:2" x14ac:dyDescent="0.3">
      <c r="A71" s="1" t="s">
        <v>4</v>
      </c>
      <c r="B71" t="s">
        <v>26</v>
      </c>
    </row>
    <row r="72" spans="1:2" x14ac:dyDescent="0.3">
      <c r="A72" s="4" t="s">
        <v>30</v>
      </c>
      <c r="B72" s="15">
        <v>261</v>
      </c>
    </row>
    <row r="73" spans="1:2" x14ac:dyDescent="0.3">
      <c r="A73" s="4" t="s">
        <v>31</v>
      </c>
      <c r="B73" s="15">
        <v>219</v>
      </c>
    </row>
    <row r="74" spans="1:2" x14ac:dyDescent="0.3">
      <c r="A74" s="4" t="s">
        <v>5</v>
      </c>
      <c r="B74" s="2">
        <v>480</v>
      </c>
    </row>
    <row r="77" spans="1:2" x14ac:dyDescent="0.3">
      <c r="A77" s="1" t="s">
        <v>4</v>
      </c>
      <c r="B77" t="s">
        <v>32</v>
      </c>
    </row>
    <row r="78" spans="1:2" x14ac:dyDescent="0.3">
      <c r="A78" s="4" t="s">
        <v>39</v>
      </c>
      <c r="B78" s="15">
        <v>6</v>
      </c>
    </row>
    <row r="79" spans="1:2" x14ac:dyDescent="0.3">
      <c r="A79" s="4" t="s">
        <v>36</v>
      </c>
      <c r="B79" s="15">
        <v>11</v>
      </c>
    </row>
    <row r="80" spans="1:2" x14ac:dyDescent="0.3">
      <c r="A80" s="4" t="s">
        <v>34</v>
      </c>
      <c r="B80" s="15">
        <v>12</v>
      </c>
    </row>
    <row r="81" spans="1:2" x14ac:dyDescent="0.3">
      <c r="A81" s="4" t="s">
        <v>33</v>
      </c>
      <c r="B81" s="15">
        <v>12</v>
      </c>
    </row>
    <row r="82" spans="1:2" x14ac:dyDescent="0.3">
      <c r="A82" s="4" t="s">
        <v>38</v>
      </c>
      <c r="B82" s="15">
        <v>20</v>
      </c>
    </row>
    <row r="83" spans="1:2" x14ac:dyDescent="0.3">
      <c r="A83" s="4" t="s">
        <v>37</v>
      </c>
      <c r="B83" s="15">
        <v>35</v>
      </c>
    </row>
    <row r="84" spans="1:2" x14ac:dyDescent="0.3">
      <c r="A84" s="4" t="s">
        <v>35</v>
      </c>
      <c r="B84" s="15">
        <v>93</v>
      </c>
    </row>
    <row r="85" spans="1:2" x14ac:dyDescent="0.3">
      <c r="A85" s="4" t="s">
        <v>40</v>
      </c>
      <c r="B85" s="15">
        <v>291</v>
      </c>
    </row>
    <row r="86" spans="1:2" x14ac:dyDescent="0.3">
      <c r="A86" s="4" t="s">
        <v>5</v>
      </c>
      <c r="B86" s="2">
        <v>480</v>
      </c>
    </row>
    <row r="90" spans="1:2" x14ac:dyDescent="0.3">
      <c r="A90" s="1" t="s">
        <v>4</v>
      </c>
    </row>
    <row r="91" spans="1:2" x14ac:dyDescent="0.3">
      <c r="A91" s="4" t="s">
        <v>41</v>
      </c>
    </row>
    <row r="92" spans="1:2" x14ac:dyDescent="0.3">
      <c r="A92" s="4"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9C697-19CE-491D-BBC9-07BC9461257E}">
  <dimension ref="A1:U30"/>
  <sheetViews>
    <sheetView tabSelected="1" zoomScaleNormal="100" workbookViewId="0">
      <selection activeCell="K33" sqref="K33"/>
    </sheetView>
  </sheetViews>
  <sheetFormatPr defaultRowHeight="14.4" x14ac:dyDescent="0.3"/>
  <sheetData>
    <row r="1" spans="1:21" x14ac:dyDescent="0.3">
      <c r="A1" s="3"/>
      <c r="B1" s="3"/>
      <c r="C1" s="3"/>
      <c r="D1" s="3"/>
      <c r="E1" s="3"/>
      <c r="F1" s="3"/>
      <c r="G1" s="3"/>
      <c r="H1" s="3"/>
      <c r="I1" s="3"/>
      <c r="J1" s="3"/>
      <c r="K1" s="3"/>
      <c r="L1" s="3"/>
      <c r="M1" s="3"/>
      <c r="N1" s="3"/>
      <c r="O1" s="3"/>
      <c r="P1" s="3"/>
      <c r="Q1" s="3"/>
      <c r="R1" s="3"/>
      <c r="S1" s="3"/>
      <c r="T1" s="3"/>
      <c r="U1" s="3"/>
    </row>
    <row r="2" spans="1:21" x14ac:dyDescent="0.3">
      <c r="A2" s="3"/>
      <c r="B2" s="3"/>
      <c r="C2" s="3"/>
      <c r="D2" s="3"/>
      <c r="E2" s="3"/>
      <c r="F2" s="3"/>
      <c r="G2" s="3"/>
      <c r="H2" s="3"/>
      <c r="I2" s="3"/>
      <c r="J2" s="3"/>
      <c r="K2" s="3"/>
      <c r="L2" s="3"/>
      <c r="M2" s="3"/>
      <c r="N2" s="3"/>
      <c r="O2" s="3"/>
      <c r="P2" s="3"/>
      <c r="Q2" s="3"/>
      <c r="R2" s="3"/>
      <c r="S2" s="3"/>
      <c r="T2" s="3"/>
      <c r="U2" s="3"/>
    </row>
    <row r="3" spans="1:21" x14ac:dyDescent="0.3">
      <c r="A3" s="3"/>
      <c r="B3" s="3"/>
      <c r="C3" s="3"/>
      <c r="D3" s="3"/>
      <c r="E3" s="3"/>
      <c r="F3" s="3"/>
      <c r="G3" s="3"/>
      <c r="H3" s="3"/>
      <c r="I3" s="3"/>
      <c r="J3" s="3"/>
      <c r="K3" s="3"/>
      <c r="L3" s="3"/>
      <c r="M3" s="3"/>
      <c r="N3" s="3"/>
      <c r="O3" s="3"/>
      <c r="P3" s="3"/>
      <c r="Q3" s="3"/>
      <c r="R3" s="3"/>
      <c r="S3" s="3"/>
      <c r="T3" s="3"/>
      <c r="U3" s="3"/>
    </row>
    <row r="4" spans="1:21" x14ac:dyDescent="0.3">
      <c r="A4" s="3"/>
      <c r="B4" s="3"/>
      <c r="C4" s="3"/>
      <c r="D4" s="3"/>
      <c r="E4" s="3"/>
      <c r="F4" s="3"/>
      <c r="G4" s="3"/>
      <c r="H4" s="3"/>
      <c r="I4" s="3"/>
      <c r="J4" s="3"/>
      <c r="K4" s="3"/>
      <c r="L4" s="3"/>
      <c r="M4" s="3"/>
      <c r="N4" s="3"/>
      <c r="O4" s="3"/>
      <c r="P4" s="3"/>
      <c r="Q4" s="3"/>
      <c r="R4" s="3"/>
      <c r="S4" s="3"/>
      <c r="T4" s="3"/>
      <c r="U4" s="3"/>
    </row>
    <row r="5" spans="1:21" x14ac:dyDescent="0.3">
      <c r="A5" s="3"/>
      <c r="B5" s="3"/>
      <c r="C5" s="3"/>
      <c r="D5" s="3"/>
      <c r="E5" s="3"/>
      <c r="F5" s="3"/>
      <c r="G5" s="3"/>
      <c r="H5" s="3"/>
      <c r="I5" s="3"/>
      <c r="J5" s="3"/>
      <c r="K5" s="3"/>
      <c r="L5" s="3"/>
      <c r="M5" s="3"/>
      <c r="N5" s="3"/>
      <c r="O5" s="3"/>
      <c r="P5" s="3"/>
      <c r="Q5" s="3"/>
      <c r="R5" s="3"/>
      <c r="S5" s="3"/>
      <c r="T5" s="3"/>
      <c r="U5" s="3"/>
    </row>
    <row r="6" spans="1:21" x14ac:dyDescent="0.3">
      <c r="A6" s="3"/>
      <c r="B6" s="3"/>
      <c r="C6" s="3"/>
      <c r="D6" s="3"/>
      <c r="E6" s="3"/>
      <c r="F6" s="3"/>
      <c r="G6" s="3"/>
      <c r="H6" s="3"/>
      <c r="I6" s="3"/>
      <c r="J6" s="3"/>
      <c r="K6" s="3"/>
      <c r="L6" s="3"/>
      <c r="M6" s="3"/>
      <c r="N6" s="3"/>
      <c r="O6" s="3"/>
      <c r="P6" s="3"/>
      <c r="Q6" s="3"/>
      <c r="R6" s="3"/>
      <c r="S6" s="3"/>
      <c r="T6" s="3"/>
      <c r="U6" s="3"/>
    </row>
    <row r="7" spans="1:21" x14ac:dyDescent="0.3">
      <c r="A7" s="3"/>
      <c r="B7" s="3"/>
      <c r="C7" s="3"/>
      <c r="D7" s="3"/>
      <c r="E7" s="3"/>
      <c r="F7" s="3"/>
      <c r="G7" s="3"/>
      <c r="H7" s="3"/>
      <c r="I7" s="3"/>
      <c r="J7" s="3"/>
      <c r="K7" s="3"/>
      <c r="L7" s="3"/>
      <c r="M7" s="3"/>
      <c r="N7" s="3"/>
      <c r="O7" s="3"/>
      <c r="P7" s="3"/>
      <c r="Q7" s="3"/>
      <c r="R7" s="3"/>
      <c r="S7" s="3"/>
      <c r="T7" s="3"/>
      <c r="U7" s="3"/>
    </row>
    <row r="8" spans="1:21" x14ac:dyDescent="0.3">
      <c r="A8" s="3"/>
      <c r="B8" s="3"/>
      <c r="C8" s="3"/>
      <c r="D8" s="3"/>
      <c r="E8" s="3"/>
      <c r="F8" s="3"/>
      <c r="G8" s="3"/>
      <c r="H8" s="3"/>
      <c r="I8" s="3"/>
      <c r="J8" s="3"/>
      <c r="K8" s="3"/>
      <c r="L8" s="3"/>
      <c r="M8" s="3"/>
      <c r="N8" s="3"/>
      <c r="O8" s="3"/>
      <c r="P8" s="3"/>
      <c r="Q8" s="3"/>
      <c r="R8" s="3"/>
      <c r="S8" s="3"/>
      <c r="T8" s="3"/>
      <c r="U8" s="3"/>
    </row>
    <row r="9" spans="1:21" x14ac:dyDescent="0.3">
      <c r="A9" s="3"/>
      <c r="B9" s="3"/>
      <c r="C9" s="3"/>
      <c r="D9" s="3"/>
      <c r="E9" s="3"/>
      <c r="F9" s="3"/>
      <c r="G9" s="3"/>
      <c r="H9" s="3"/>
      <c r="I9" s="3"/>
      <c r="J9" s="3"/>
      <c r="K9" s="3"/>
      <c r="L9" s="3"/>
      <c r="M9" s="3"/>
      <c r="N9" s="3"/>
      <c r="O9" s="3"/>
      <c r="P9" s="3"/>
      <c r="Q9" s="3"/>
      <c r="R9" s="3"/>
      <c r="S9" s="3"/>
      <c r="T9" s="3"/>
      <c r="U9" s="3"/>
    </row>
    <row r="10" spans="1:21" x14ac:dyDescent="0.3">
      <c r="A10" s="3"/>
      <c r="B10" s="3"/>
      <c r="C10" s="3"/>
      <c r="D10" s="3"/>
      <c r="E10" s="3"/>
      <c r="F10" s="3"/>
      <c r="G10" s="3"/>
      <c r="H10" s="3"/>
      <c r="I10" s="3"/>
      <c r="J10" s="3"/>
      <c r="K10" s="3"/>
      <c r="L10" s="3"/>
      <c r="M10" s="3"/>
      <c r="N10" s="3"/>
      <c r="O10" s="3"/>
      <c r="P10" s="3"/>
      <c r="Q10" s="3"/>
      <c r="R10" s="3"/>
      <c r="S10" s="3"/>
      <c r="T10" s="3"/>
      <c r="U10" s="3"/>
    </row>
    <row r="11" spans="1:21" x14ac:dyDescent="0.3">
      <c r="A11" s="3"/>
      <c r="B11" s="3"/>
      <c r="C11" s="3"/>
      <c r="D11" s="3"/>
      <c r="E11" s="3"/>
      <c r="F11" s="3"/>
      <c r="G11" s="3"/>
      <c r="H11" s="3"/>
      <c r="I11" s="3"/>
      <c r="J11" s="3"/>
      <c r="K11" s="3"/>
      <c r="L11" s="3"/>
      <c r="M11" s="3"/>
      <c r="N11" s="3"/>
      <c r="O11" s="3"/>
      <c r="P11" s="3"/>
      <c r="Q11" s="3"/>
      <c r="R11" s="3"/>
      <c r="S11" s="3"/>
      <c r="T11" s="3"/>
      <c r="U11" s="3"/>
    </row>
    <row r="12" spans="1:21" x14ac:dyDescent="0.3">
      <c r="A12" s="3"/>
      <c r="B12" s="3"/>
      <c r="C12" s="3"/>
      <c r="D12" s="3"/>
      <c r="E12" s="3"/>
      <c r="F12" s="3"/>
      <c r="G12" s="3"/>
      <c r="H12" s="3"/>
      <c r="I12" s="3"/>
      <c r="J12" s="3"/>
      <c r="K12" s="3"/>
      <c r="L12" s="3"/>
      <c r="M12" s="3"/>
      <c r="N12" s="3"/>
      <c r="O12" s="3"/>
      <c r="P12" s="3"/>
      <c r="Q12" s="3"/>
      <c r="R12" s="3"/>
      <c r="S12" s="3"/>
      <c r="T12" s="3"/>
      <c r="U12" s="3"/>
    </row>
    <row r="13" spans="1:21" x14ac:dyDescent="0.3">
      <c r="A13" s="3"/>
      <c r="B13" s="3"/>
      <c r="C13" s="3"/>
      <c r="D13" s="3"/>
      <c r="E13" s="3"/>
      <c r="F13" s="3"/>
      <c r="G13" s="3"/>
      <c r="H13" s="3"/>
      <c r="I13" s="3"/>
      <c r="J13" s="3"/>
      <c r="K13" s="3"/>
      <c r="L13" s="3"/>
      <c r="M13" s="3"/>
      <c r="N13" s="3"/>
      <c r="O13" s="3"/>
      <c r="P13" s="3"/>
      <c r="Q13" s="3"/>
      <c r="R13" s="3"/>
      <c r="S13" s="3"/>
      <c r="T13" s="3"/>
      <c r="U13" s="3"/>
    </row>
    <row r="14" spans="1:21" ht="13.8" customHeight="1" x14ac:dyDescent="0.3">
      <c r="A14" s="3"/>
      <c r="B14" s="3"/>
      <c r="C14" s="3"/>
      <c r="D14" s="3"/>
      <c r="E14" s="3"/>
      <c r="F14" s="3"/>
      <c r="G14" s="3"/>
      <c r="H14" s="3"/>
      <c r="I14" s="3"/>
      <c r="J14" s="3"/>
      <c r="K14" s="3"/>
      <c r="L14" s="3"/>
      <c r="M14" s="3"/>
      <c r="N14" s="3"/>
      <c r="O14" s="3"/>
      <c r="P14" s="3"/>
      <c r="Q14" s="3"/>
      <c r="R14" s="3"/>
      <c r="S14" s="3"/>
      <c r="T14" s="3"/>
      <c r="U14" s="3"/>
    </row>
    <row r="15" spans="1:21" x14ac:dyDescent="0.3">
      <c r="A15" s="3"/>
      <c r="B15" s="3"/>
      <c r="C15" s="3"/>
      <c r="D15" s="3"/>
      <c r="E15" s="3"/>
      <c r="F15" s="3"/>
      <c r="G15" s="3"/>
      <c r="H15" s="3"/>
      <c r="I15" s="3"/>
      <c r="J15" s="3"/>
      <c r="K15" s="3"/>
      <c r="L15" s="3"/>
      <c r="M15" s="3"/>
      <c r="N15" s="3"/>
      <c r="O15" s="3"/>
      <c r="P15" s="3"/>
      <c r="Q15" s="3"/>
      <c r="R15" s="3"/>
      <c r="S15" s="3"/>
      <c r="T15" s="3"/>
      <c r="U15" s="3"/>
    </row>
    <row r="16" spans="1:21" x14ac:dyDescent="0.3">
      <c r="A16" s="3"/>
      <c r="B16" s="3"/>
      <c r="C16" s="3"/>
      <c r="D16" s="3"/>
      <c r="E16" s="3"/>
      <c r="F16" s="3"/>
      <c r="G16" s="3"/>
      <c r="H16" s="3"/>
      <c r="I16" s="3"/>
      <c r="J16" s="3"/>
      <c r="K16" s="3"/>
      <c r="L16" s="3"/>
      <c r="M16" s="3"/>
      <c r="N16" s="3"/>
      <c r="O16" s="3"/>
      <c r="P16" s="3"/>
      <c r="Q16" s="3"/>
      <c r="R16" s="3"/>
      <c r="S16" s="3"/>
      <c r="T16" s="3"/>
      <c r="U16" s="3"/>
    </row>
    <row r="17" spans="1:21" x14ac:dyDescent="0.3">
      <c r="A17" s="3"/>
      <c r="B17" s="3"/>
      <c r="C17" s="3"/>
      <c r="D17" s="3"/>
      <c r="E17" s="3"/>
      <c r="F17" s="3"/>
      <c r="G17" s="3"/>
      <c r="H17" s="3"/>
      <c r="I17" s="3"/>
      <c r="J17" s="3"/>
      <c r="K17" s="3"/>
      <c r="L17" s="3"/>
      <c r="M17" s="3"/>
      <c r="N17" s="3"/>
      <c r="O17" s="3"/>
      <c r="P17" s="3"/>
      <c r="Q17" s="3"/>
      <c r="R17" s="3"/>
      <c r="S17" s="3"/>
      <c r="T17" s="3"/>
      <c r="U17" s="3"/>
    </row>
    <row r="18" spans="1:21" x14ac:dyDescent="0.3">
      <c r="A18" s="3"/>
      <c r="B18" s="3"/>
      <c r="C18" s="3"/>
      <c r="D18" s="3"/>
      <c r="E18" s="3"/>
      <c r="F18" s="3"/>
      <c r="G18" s="3"/>
      <c r="H18" s="3"/>
      <c r="I18" s="3"/>
      <c r="J18" s="3"/>
      <c r="K18" s="3"/>
      <c r="L18" s="3"/>
      <c r="M18" s="3"/>
      <c r="N18" s="3"/>
      <c r="O18" s="3"/>
      <c r="P18" s="3"/>
      <c r="Q18" s="3"/>
      <c r="R18" s="3"/>
      <c r="S18" s="3"/>
      <c r="T18" s="3"/>
      <c r="U18" s="3"/>
    </row>
    <row r="19" spans="1:21" x14ac:dyDescent="0.3">
      <c r="A19" s="3"/>
      <c r="B19" s="3"/>
      <c r="C19" s="3"/>
      <c r="D19" s="3"/>
      <c r="E19" s="3"/>
      <c r="F19" s="3"/>
      <c r="G19" s="3"/>
      <c r="H19" s="3"/>
      <c r="I19" s="3"/>
      <c r="J19" s="3"/>
      <c r="K19" s="3"/>
      <c r="L19" s="3"/>
      <c r="M19" s="3"/>
      <c r="N19" s="3"/>
      <c r="O19" s="3"/>
      <c r="P19" s="3"/>
      <c r="Q19" s="3"/>
      <c r="R19" s="3"/>
      <c r="S19" s="3"/>
      <c r="T19" s="3"/>
      <c r="U19" s="3"/>
    </row>
    <row r="20" spans="1:21" x14ac:dyDescent="0.3">
      <c r="A20" s="3"/>
      <c r="B20" s="3"/>
      <c r="C20" s="3"/>
      <c r="D20" s="3"/>
      <c r="E20" s="3"/>
      <c r="F20" s="3"/>
      <c r="G20" s="3"/>
      <c r="H20" s="3"/>
      <c r="I20" s="3"/>
      <c r="J20" s="3"/>
      <c r="K20" s="3"/>
      <c r="L20" s="3"/>
      <c r="M20" s="3"/>
      <c r="N20" s="3"/>
      <c r="O20" s="3"/>
      <c r="P20" s="3"/>
      <c r="Q20" s="3"/>
      <c r="R20" s="3"/>
      <c r="S20" s="3"/>
      <c r="T20" s="3"/>
      <c r="U20" s="3"/>
    </row>
    <row r="21" spans="1:21" x14ac:dyDescent="0.3">
      <c r="A21" s="3"/>
      <c r="B21" s="3"/>
      <c r="C21" s="3"/>
      <c r="D21" s="3"/>
      <c r="E21" s="3"/>
      <c r="F21" s="3"/>
      <c r="G21" s="3"/>
      <c r="H21" s="3"/>
      <c r="I21" s="3"/>
      <c r="J21" s="3"/>
      <c r="K21" s="3"/>
      <c r="L21" s="3"/>
      <c r="M21" s="3"/>
      <c r="N21" s="3"/>
      <c r="O21" s="3"/>
      <c r="P21" s="3"/>
      <c r="Q21" s="3"/>
      <c r="R21" s="3"/>
      <c r="S21" s="3"/>
      <c r="T21" s="3"/>
      <c r="U21" s="3"/>
    </row>
    <row r="22" spans="1:21" x14ac:dyDescent="0.3">
      <c r="A22" s="3"/>
      <c r="B22" s="3"/>
      <c r="C22" s="3"/>
      <c r="D22" s="3"/>
      <c r="E22" s="3"/>
      <c r="F22" s="3"/>
      <c r="G22" s="3"/>
      <c r="H22" s="3"/>
      <c r="I22" s="3"/>
      <c r="J22" s="3"/>
      <c r="K22" s="3"/>
      <c r="L22" s="3"/>
      <c r="M22" s="3"/>
      <c r="N22" s="3"/>
      <c r="O22" s="3"/>
      <c r="P22" s="3"/>
      <c r="Q22" s="3"/>
      <c r="R22" s="3"/>
      <c r="S22" s="3"/>
      <c r="T22" s="3"/>
      <c r="U22" s="3"/>
    </row>
    <row r="23" spans="1:21" x14ac:dyDescent="0.3">
      <c r="A23" s="3"/>
      <c r="B23" s="3"/>
      <c r="C23" s="3"/>
      <c r="D23" s="3"/>
      <c r="E23" s="3"/>
      <c r="F23" s="3"/>
      <c r="G23" s="3"/>
      <c r="H23" s="3"/>
      <c r="I23" s="3"/>
      <c r="J23" s="3"/>
      <c r="K23" s="3"/>
      <c r="L23" s="3"/>
      <c r="M23" s="3"/>
      <c r="N23" s="3"/>
      <c r="O23" s="3"/>
      <c r="P23" s="3"/>
      <c r="Q23" s="3"/>
      <c r="R23" s="3"/>
      <c r="S23" s="3"/>
      <c r="T23" s="3"/>
      <c r="U23" s="3"/>
    </row>
    <row r="24" spans="1:21" x14ac:dyDescent="0.3">
      <c r="A24" s="3"/>
      <c r="B24" s="3"/>
      <c r="C24" s="3"/>
      <c r="D24" s="3"/>
      <c r="E24" s="3"/>
      <c r="F24" s="3"/>
      <c r="G24" s="3"/>
      <c r="H24" s="3"/>
      <c r="I24" s="3"/>
      <c r="J24" s="3"/>
      <c r="K24" s="3"/>
      <c r="L24" s="3"/>
      <c r="M24" s="3"/>
      <c r="N24" s="3"/>
      <c r="O24" s="3"/>
      <c r="P24" s="3"/>
      <c r="Q24" s="3"/>
      <c r="R24" s="3"/>
      <c r="S24" s="3"/>
      <c r="T24" s="3"/>
      <c r="U24" s="3"/>
    </row>
    <row r="25" spans="1:21" x14ac:dyDescent="0.3">
      <c r="A25" s="3"/>
      <c r="B25" s="3"/>
      <c r="C25" s="3"/>
      <c r="D25" s="3"/>
      <c r="E25" s="3"/>
      <c r="F25" s="3"/>
      <c r="G25" s="3"/>
      <c r="H25" s="3"/>
      <c r="I25" s="3"/>
      <c r="J25" s="3"/>
      <c r="K25" s="3"/>
      <c r="L25" s="3"/>
      <c r="M25" s="3"/>
      <c r="N25" s="3"/>
      <c r="O25" s="3"/>
      <c r="P25" s="3"/>
      <c r="Q25" s="3"/>
      <c r="R25" s="3"/>
      <c r="S25" s="3"/>
      <c r="T25" s="3"/>
      <c r="U25" s="3"/>
    </row>
    <row r="26" spans="1:21" x14ac:dyDescent="0.3">
      <c r="A26" s="3"/>
      <c r="B26" s="3"/>
      <c r="C26" s="3"/>
      <c r="D26" s="3"/>
      <c r="E26" s="3"/>
      <c r="F26" s="3"/>
      <c r="G26" s="3"/>
      <c r="H26" s="3"/>
      <c r="I26" s="3"/>
      <c r="J26" s="3"/>
      <c r="K26" s="3"/>
      <c r="L26" s="3"/>
      <c r="M26" s="3"/>
      <c r="N26" s="3"/>
      <c r="O26" s="3"/>
      <c r="P26" s="3"/>
      <c r="Q26" s="3"/>
      <c r="R26" s="3"/>
      <c r="S26" s="3"/>
      <c r="T26" s="3"/>
      <c r="U26" s="3"/>
    </row>
    <row r="27" spans="1:21" x14ac:dyDescent="0.3">
      <c r="A27" s="3"/>
      <c r="B27" s="3"/>
      <c r="C27" s="3"/>
      <c r="D27" s="3"/>
      <c r="E27" s="3"/>
      <c r="F27" s="3"/>
      <c r="G27" s="3"/>
      <c r="H27" s="3"/>
      <c r="I27" s="3"/>
      <c r="J27" s="3"/>
      <c r="K27" s="3"/>
      <c r="L27" s="3"/>
      <c r="M27" s="3"/>
      <c r="N27" s="3"/>
      <c r="O27" s="3"/>
      <c r="P27" s="3"/>
      <c r="Q27" s="3"/>
      <c r="R27" s="3"/>
      <c r="S27" s="3"/>
      <c r="T27" s="3"/>
      <c r="U27" s="3"/>
    </row>
    <row r="28" spans="1:21" x14ac:dyDescent="0.3">
      <c r="A28" s="3"/>
      <c r="B28" s="3"/>
      <c r="C28" s="3"/>
      <c r="D28" s="3"/>
      <c r="E28" s="3"/>
      <c r="F28" s="3"/>
      <c r="G28" s="3"/>
      <c r="H28" s="3"/>
      <c r="I28" s="3"/>
      <c r="J28" s="3"/>
      <c r="K28" s="3"/>
      <c r="L28" s="3"/>
      <c r="M28" s="3"/>
      <c r="N28" s="3"/>
      <c r="O28" s="3"/>
      <c r="P28" s="3"/>
      <c r="Q28" s="3"/>
      <c r="R28" s="3"/>
      <c r="S28" s="3"/>
      <c r="T28" s="3"/>
      <c r="U28" s="3"/>
    </row>
    <row r="29" spans="1:21" x14ac:dyDescent="0.3">
      <c r="A29" s="3"/>
      <c r="B29" s="3"/>
      <c r="C29" s="3"/>
      <c r="D29" s="3"/>
      <c r="E29" s="3"/>
      <c r="F29" s="3"/>
      <c r="G29" s="3"/>
      <c r="H29" s="3"/>
      <c r="I29" s="3"/>
      <c r="J29" s="3"/>
      <c r="K29" s="3"/>
      <c r="L29" s="3"/>
      <c r="M29" s="3"/>
      <c r="N29" s="3"/>
      <c r="O29" s="3"/>
      <c r="P29" s="3"/>
      <c r="Q29" s="3"/>
      <c r="R29" s="3"/>
      <c r="S29" s="3"/>
      <c r="T29" s="3"/>
      <c r="U29" s="3"/>
    </row>
    <row r="30" spans="1:21" x14ac:dyDescent="0.3">
      <c r="A30" s="3"/>
      <c r="B30" s="3"/>
      <c r="C30" s="3"/>
      <c r="D30" s="3"/>
      <c r="E30" s="3"/>
      <c r="F30" s="3"/>
      <c r="G30" s="3"/>
      <c r="H30" s="3"/>
      <c r="I30" s="3"/>
      <c r="J30" s="3"/>
      <c r="K30" s="3"/>
      <c r="L30" s="3"/>
      <c r="M30" s="3"/>
      <c r="N30" s="3"/>
      <c r="O30" s="3"/>
      <c r="P30" s="3"/>
      <c r="Q30" s="3"/>
      <c r="R30" s="3"/>
      <c r="S30" s="3"/>
      <c r="T30" s="3"/>
      <c r="U30"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90D6A-7A7F-44DE-A1AB-4062954FB6C6}">
  <dimension ref="A6:M26"/>
  <sheetViews>
    <sheetView workbookViewId="0"/>
  </sheetViews>
  <sheetFormatPr defaultRowHeight="14.4" x14ac:dyDescent="0.3"/>
  <sheetData>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row r="19" spans="1:13" x14ac:dyDescent="0.3">
      <c r="A19" s="5"/>
      <c r="B19" s="5"/>
      <c r="C19" s="5"/>
      <c r="D19" s="5"/>
      <c r="E19" s="5"/>
      <c r="F19" s="5"/>
      <c r="G19" s="5"/>
      <c r="H19" s="5"/>
      <c r="I19" s="5"/>
      <c r="J19" s="5"/>
      <c r="K19" s="5"/>
      <c r="L19" s="5"/>
      <c r="M19" s="5"/>
    </row>
    <row r="20" spans="1:13" x14ac:dyDescent="0.3">
      <c r="A20" s="5"/>
      <c r="B20" s="5"/>
      <c r="C20" s="5"/>
      <c r="D20" s="5"/>
      <c r="E20" s="5"/>
      <c r="F20" s="5"/>
      <c r="G20" s="5"/>
      <c r="H20" s="5"/>
      <c r="I20" s="5"/>
      <c r="J20" s="5"/>
      <c r="K20" s="5"/>
      <c r="L20" s="5"/>
      <c r="M20" s="5"/>
    </row>
    <row r="21" spans="1:13" x14ac:dyDescent="0.3">
      <c r="A21" s="5"/>
      <c r="B21" s="5"/>
      <c r="C21" s="5"/>
      <c r="D21" s="5"/>
      <c r="E21" s="5"/>
      <c r="F21" s="5"/>
      <c r="G21" s="5"/>
      <c r="H21" s="5"/>
      <c r="I21" s="5"/>
      <c r="J21" s="5"/>
      <c r="K21" s="5"/>
      <c r="L21" s="5"/>
      <c r="M21" s="5"/>
    </row>
    <row r="22" spans="1:13" x14ac:dyDescent="0.3">
      <c r="A22" s="5"/>
      <c r="B22" s="5"/>
      <c r="C22" s="5"/>
      <c r="D22" s="5"/>
      <c r="E22" s="5"/>
      <c r="F22" s="5"/>
      <c r="G22" s="5"/>
      <c r="H22" s="5"/>
      <c r="I22" s="5"/>
      <c r="J22" s="5"/>
      <c r="K22" s="5"/>
      <c r="L22" s="5"/>
      <c r="M22" s="5"/>
    </row>
    <row r="23" spans="1:13" x14ac:dyDescent="0.3">
      <c r="A23" s="5"/>
      <c r="B23" s="5"/>
      <c r="C23" s="5"/>
      <c r="D23" s="5"/>
      <c r="E23" s="5"/>
      <c r="F23" s="5"/>
      <c r="G23" s="5"/>
      <c r="H23" s="5"/>
      <c r="I23" s="5"/>
      <c r="J23" s="5"/>
      <c r="K23" s="5"/>
      <c r="L23" s="5"/>
      <c r="M23" s="5"/>
    </row>
    <row r="24" spans="1:13" x14ac:dyDescent="0.3">
      <c r="A24" s="5"/>
      <c r="B24" s="5"/>
      <c r="C24" s="5"/>
      <c r="D24" s="5"/>
      <c r="E24" s="5"/>
      <c r="F24" s="5"/>
      <c r="G24" s="5"/>
      <c r="H24" s="5"/>
      <c r="I24" s="5"/>
      <c r="J24" s="5"/>
      <c r="K24" s="5"/>
      <c r="L24" s="5"/>
      <c r="M24" s="5"/>
    </row>
    <row r="25" spans="1:13" x14ac:dyDescent="0.3">
      <c r="A25" s="16" t="s">
        <v>6</v>
      </c>
      <c r="B25" s="17"/>
      <c r="C25" s="17"/>
      <c r="D25" s="17"/>
      <c r="E25" s="17"/>
      <c r="F25" s="17"/>
      <c r="G25" s="17"/>
      <c r="H25" s="17"/>
      <c r="I25" s="17"/>
      <c r="J25" s="17"/>
      <c r="K25" s="17"/>
      <c r="L25" s="17"/>
      <c r="M25" s="17"/>
    </row>
    <row r="26" spans="1:13" x14ac:dyDescent="0.3">
      <c r="A26" s="17"/>
      <c r="B26" s="17"/>
      <c r="C26" s="17"/>
      <c r="D26" s="17"/>
      <c r="E26" s="17"/>
      <c r="F26" s="17"/>
      <c r="G26" s="17"/>
      <c r="H26" s="17"/>
      <c r="I26" s="17"/>
      <c r="J26" s="17"/>
      <c r="K26" s="17"/>
      <c r="L26" s="17"/>
      <c r="M26" s="17"/>
    </row>
  </sheetData>
  <mergeCells count="1">
    <mergeCell ref="A25:M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262C-2FCD-4209-8F24-FE3FBB1A558E}">
  <dimension ref="A1:M24"/>
  <sheetViews>
    <sheetView workbookViewId="0">
      <selection activeCell="A3" sqref="A3"/>
    </sheetView>
  </sheetViews>
  <sheetFormatPr defaultRowHeight="14.4" x14ac:dyDescent="0.3"/>
  <sheetData>
    <row r="1" spans="1:13" x14ac:dyDescent="0.3">
      <c r="A1" s="5"/>
      <c r="B1" s="5"/>
      <c r="C1" s="5"/>
      <c r="D1" s="5"/>
      <c r="E1" s="5"/>
      <c r="F1" s="5"/>
      <c r="G1" s="5"/>
      <c r="H1" s="5"/>
      <c r="I1" s="5"/>
      <c r="J1" s="5"/>
      <c r="K1" s="5"/>
      <c r="L1" s="5"/>
      <c r="M1" s="5"/>
    </row>
    <row r="2" spans="1:13" x14ac:dyDescent="0.3">
      <c r="A2" s="5"/>
      <c r="B2" s="5"/>
      <c r="C2" s="5"/>
      <c r="D2" s="5"/>
      <c r="E2" s="5"/>
      <c r="F2" s="5"/>
      <c r="G2" s="5"/>
      <c r="H2" s="5"/>
      <c r="I2" s="5"/>
      <c r="J2" s="5"/>
      <c r="K2" s="5"/>
      <c r="L2" s="5"/>
      <c r="M2" s="5"/>
    </row>
    <row r="3" spans="1:13" x14ac:dyDescent="0.3">
      <c r="A3" s="5"/>
      <c r="B3" s="5"/>
      <c r="C3" s="5"/>
      <c r="D3" s="5"/>
      <c r="E3" s="5"/>
      <c r="F3" s="5"/>
      <c r="G3" s="5"/>
      <c r="H3" s="5"/>
      <c r="I3" s="5"/>
      <c r="J3" s="5"/>
      <c r="K3" s="5"/>
      <c r="L3" s="5"/>
      <c r="M3" s="5"/>
    </row>
    <row r="4" spans="1:13" x14ac:dyDescent="0.3">
      <c r="A4" s="5"/>
      <c r="B4" s="5"/>
      <c r="C4" s="5"/>
      <c r="D4" s="5"/>
      <c r="E4" s="5"/>
      <c r="F4" s="5"/>
      <c r="G4" s="5"/>
      <c r="H4" s="5"/>
      <c r="I4" s="5"/>
      <c r="J4" s="5"/>
      <c r="K4" s="5"/>
      <c r="L4" s="5"/>
      <c r="M4" s="5"/>
    </row>
    <row r="5" spans="1:13" x14ac:dyDescent="0.3">
      <c r="A5" s="5"/>
      <c r="B5" s="5"/>
      <c r="C5" s="5"/>
      <c r="D5" s="5"/>
      <c r="E5" s="5"/>
      <c r="F5" s="5"/>
      <c r="G5" s="5"/>
      <c r="H5" s="5"/>
      <c r="I5" s="5"/>
      <c r="J5" s="5"/>
      <c r="K5" s="5"/>
      <c r="L5" s="5"/>
      <c r="M5" s="5"/>
    </row>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row r="19" spans="1:13" x14ac:dyDescent="0.3">
      <c r="A19" s="5"/>
      <c r="B19" s="5"/>
      <c r="C19" s="5"/>
      <c r="D19" s="5"/>
      <c r="E19" s="5"/>
      <c r="F19" s="5"/>
      <c r="G19" s="5"/>
      <c r="H19" s="5"/>
      <c r="I19" s="5"/>
      <c r="J19" s="5"/>
      <c r="K19" s="5"/>
      <c r="L19" s="5"/>
      <c r="M19" s="5"/>
    </row>
    <row r="20" spans="1:13" x14ac:dyDescent="0.3">
      <c r="A20" s="5"/>
      <c r="B20" s="5"/>
      <c r="C20" s="5"/>
      <c r="D20" s="5"/>
      <c r="E20" s="5"/>
      <c r="F20" s="5"/>
      <c r="G20" s="5"/>
      <c r="H20" s="5"/>
      <c r="I20" s="5"/>
      <c r="J20" s="5"/>
      <c r="K20" s="5"/>
      <c r="L20" s="5"/>
      <c r="M20" s="5"/>
    </row>
    <row r="21" spans="1:13" x14ac:dyDescent="0.3">
      <c r="A21" s="5"/>
      <c r="B21" s="5"/>
      <c r="C21" s="5"/>
      <c r="D21" s="5"/>
      <c r="E21" s="5"/>
      <c r="F21" s="5"/>
      <c r="G21" s="5"/>
      <c r="H21" s="5"/>
      <c r="I21" s="5"/>
      <c r="J21" s="5"/>
      <c r="K21" s="5"/>
      <c r="L21" s="5"/>
      <c r="M21" s="5"/>
    </row>
    <row r="22" spans="1:13" x14ac:dyDescent="0.3">
      <c r="A22" s="5"/>
      <c r="B22" s="5"/>
      <c r="C22" s="5"/>
      <c r="D22" s="5"/>
      <c r="E22" s="5"/>
      <c r="F22" s="5"/>
      <c r="G22" s="5"/>
      <c r="H22" s="5"/>
      <c r="I22" s="5"/>
      <c r="J22" s="5"/>
      <c r="K22" s="5"/>
      <c r="L22" s="5"/>
      <c r="M22" s="5"/>
    </row>
    <row r="23" spans="1:13" x14ac:dyDescent="0.3">
      <c r="A23" s="18" t="s">
        <v>7</v>
      </c>
      <c r="B23" s="19"/>
      <c r="C23" s="19"/>
      <c r="D23" s="19"/>
      <c r="E23" s="19"/>
      <c r="F23" s="19"/>
      <c r="G23" s="19"/>
      <c r="H23" s="19"/>
      <c r="I23" s="19"/>
      <c r="J23" s="19"/>
      <c r="K23" s="19"/>
      <c r="L23" s="19"/>
      <c r="M23" s="19"/>
    </row>
    <row r="24" spans="1:13" x14ac:dyDescent="0.3">
      <c r="A24" s="19"/>
      <c r="B24" s="19"/>
      <c r="C24" s="19"/>
      <c r="D24" s="19"/>
      <c r="E24" s="19"/>
      <c r="F24" s="19"/>
      <c r="G24" s="19"/>
      <c r="H24" s="19"/>
      <c r="I24" s="19"/>
      <c r="J24" s="19"/>
      <c r="K24" s="19"/>
      <c r="L24" s="19"/>
      <c r="M24" s="19"/>
    </row>
  </sheetData>
  <mergeCells count="1">
    <mergeCell ref="A23:M2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F2C5-8B99-4023-878F-699DDE6EDE9C}">
  <dimension ref="A1:M24"/>
  <sheetViews>
    <sheetView workbookViewId="0"/>
  </sheetViews>
  <sheetFormatPr defaultRowHeight="14.4" x14ac:dyDescent="0.3"/>
  <sheetData>
    <row r="1" spans="1:13" x14ac:dyDescent="0.3">
      <c r="A1" s="5"/>
      <c r="B1" s="5"/>
      <c r="C1" s="5"/>
      <c r="D1" s="5"/>
      <c r="E1" s="5"/>
      <c r="F1" s="5"/>
      <c r="G1" s="5"/>
      <c r="H1" s="5"/>
      <c r="I1" s="5"/>
      <c r="J1" s="5"/>
      <c r="K1" s="5"/>
      <c r="L1" s="5"/>
      <c r="M1" s="5"/>
    </row>
    <row r="2" spans="1:13" x14ac:dyDescent="0.3">
      <c r="A2" s="5"/>
      <c r="B2" s="5"/>
      <c r="C2" s="5"/>
      <c r="D2" s="5"/>
      <c r="E2" s="5"/>
      <c r="F2" s="5"/>
      <c r="G2" s="5"/>
      <c r="H2" s="5"/>
      <c r="I2" s="5"/>
      <c r="J2" s="5"/>
      <c r="K2" s="5"/>
      <c r="L2" s="5"/>
      <c r="M2" s="5"/>
    </row>
    <row r="3" spans="1:13" x14ac:dyDescent="0.3">
      <c r="A3" s="5"/>
      <c r="B3" s="5"/>
      <c r="C3" s="5"/>
      <c r="D3" s="5"/>
      <c r="E3" s="5"/>
      <c r="F3" s="5"/>
      <c r="G3" s="5"/>
      <c r="H3" s="5"/>
      <c r="I3" s="5"/>
      <c r="J3" s="5"/>
      <c r="K3" s="5"/>
      <c r="L3" s="5"/>
      <c r="M3" s="5"/>
    </row>
    <row r="4" spans="1:13" x14ac:dyDescent="0.3">
      <c r="A4" s="5"/>
      <c r="B4" s="5"/>
      <c r="C4" s="5"/>
      <c r="D4" s="5"/>
      <c r="E4" s="5"/>
      <c r="F4" s="5"/>
      <c r="G4" s="5"/>
      <c r="H4" s="5"/>
      <c r="I4" s="5"/>
      <c r="J4" s="5"/>
      <c r="K4" s="5"/>
      <c r="L4" s="5"/>
      <c r="M4" s="5"/>
    </row>
    <row r="5" spans="1:13" x14ac:dyDescent="0.3">
      <c r="A5" s="5"/>
      <c r="B5" s="5"/>
      <c r="C5" s="5"/>
      <c r="D5" s="5"/>
      <c r="E5" s="5"/>
      <c r="F5" s="5"/>
      <c r="G5" s="5"/>
      <c r="H5" s="5"/>
      <c r="I5" s="5"/>
      <c r="J5" s="5"/>
      <c r="K5" s="5"/>
      <c r="L5" s="5"/>
      <c r="M5" s="5"/>
    </row>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row r="19" spans="1:13" x14ac:dyDescent="0.3">
      <c r="A19" s="5"/>
      <c r="B19" s="5"/>
      <c r="C19" s="5"/>
      <c r="D19" s="5"/>
      <c r="E19" s="5"/>
      <c r="F19" s="5"/>
      <c r="G19" s="5"/>
      <c r="H19" s="5"/>
      <c r="I19" s="5"/>
      <c r="J19" s="5"/>
      <c r="K19" s="5"/>
      <c r="L19" s="5"/>
      <c r="M19" s="5"/>
    </row>
    <row r="20" spans="1:13" x14ac:dyDescent="0.3">
      <c r="A20" s="5"/>
      <c r="B20" s="5"/>
      <c r="C20" s="5"/>
      <c r="D20" s="5"/>
      <c r="E20" s="5"/>
      <c r="F20" s="5"/>
      <c r="G20" s="5"/>
      <c r="H20" s="5"/>
      <c r="I20" s="5"/>
      <c r="J20" s="5"/>
      <c r="K20" s="5"/>
      <c r="L20" s="5"/>
      <c r="M20" s="5"/>
    </row>
    <row r="21" spans="1:13" x14ac:dyDescent="0.3">
      <c r="A21" s="5"/>
      <c r="B21" s="5"/>
      <c r="C21" s="5"/>
      <c r="D21" s="5"/>
      <c r="E21" s="5"/>
      <c r="F21" s="5"/>
      <c r="G21" s="5"/>
      <c r="H21" s="5"/>
      <c r="I21" s="5"/>
      <c r="J21" s="5"/>
      <c r="K21" s="5"/>
      <c r="L21" s="5"/>
      <c r="M21" s="5"/>
    </row>
    <row r="22" spans="1:13" x14ac:dyDescent="0.3">
      <c r="A22" s="5"/>
      <c r="B22" s="5"/>
      <c r="C22" s="5"/>
      <c r="D22" s="5"/>
      <c r="E22" s="5"/>
      <c r="F22" s="5"/>
      <c r="G22" s="5"/>
      <c r="H22" s="5"/>
      <c r="I22" s="5"/>
      <c r="J22" s="5"/>
      <c r="K22" s="5"/>
      <c r="L22" s="5"/>
      <c r="M22" s="5"/>
    </row>
    <row r="23" spans="1:13" x14ac:dyDescent="0.3">
      <c r="A23" s="18" t="s">
        <v>9</v>
      </c>
      <c r="B23" s="19"/>
      <c r="C23" s="19"/>
      <c r="D23" s="19"/>
      <c r="E23" s="19"/>
      <c r="F23" s="19"/>
      <c r="G23" s="19"/>
      <c r="H23" s="19"/>
      <c r="I23" s="19"/>
      <c r="J23" s="19"/>
      <c r="K23" s="19"/>
      <c r="L23" s="19"/>
      <c r="M23" s="19"/>
    </row>
    <row r="24" spans="1:13" x14ac:dyDescent="0.3">
      <c r="A24" s="19"/>
      <c r="B24" s="19"/>
      <c r="C24" s="19"/>
      <c r="D24" s="19"/>
      <c r="E24" s="19"/>
      <c r="F24" s="19"/>
      <c r="G24" s="19"/>
      <c r="H24" s="19"/>
      <c r="I24" s="19"/>
      <c r="J24" s="19"/>
      <c r="K24" s="19"/>
      <c r="L24" s="19"/>
      <c r="M24" s="19"/>
    </row>
  </sheetData>
  <mergeCells count="1">
    <mergeCell ref="A23:M2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430A31B-8621-4C2F-B134-6D3F41272ED8}">
  <ds:schemaRefs/>
</ds:datastoreItem>
</file>

<file path=customXml/itemProps2.xml><?xml version="1.0" encoding="utf-8"?>
<ds:datastoreItem xmlns:ds="http://schemas.openxmlformats.org/officeDocument/2006/customXml" ds:itemID="{E78D40DA-0470-4707-A166-BEA86F2102A2}">
  <ds:schemaRefs/>
</ds:datastoreItem>
</file>

<file path=customXml/itemProps3.xml><?xml version="1.0" encoding="utf-8"?>
<ds:datastoreItem xmlns:ds="http://schemas.openxmlformats.org/officeDocument/2006/customXml" ds:itemID="{7CB4F186-2736-44F7-8F67-9531EDAC3E19}">
  <ds:schemaRefs/>
</ds:datastoreItem>
</file>

<file path=customXml/itemProps4.xml><?xml version="1.0" encoding="utf-8"?>
<ds:datastoreItem xmlns:ds="http://schemas.openxmlformats.org/officeDocument/2006/customXml" ds:itemID="{40D60A9F-038B-435F-BEBA-27C410A35A8E}">
  <ds:schemaRefs/>
</ds:datastoreItem>
</file>

<file path=customXml/itemProps5.xml><?xml version="1.0" encoding="utf-8"?>
<ds:datastoreItem xmlns:ds="http://schemas.openxmlformats.org/officeDocument/2006/customXml" ds:itemID="{B74CCCA9-64A4-4918-9FA3-53840B195545}">
  <ds:schemaRefs/>
</ds:datastoreItem>
</file>

<file path=customXml/itemProps6.xml><?xml version="1.0" encoding="utf-8"?>
<ds:datastoreItem xmlns:ds="http://schemas.openxmlformats.org/officeDocument/2006/customXml" ds:itemID="{F4634130-DE3B-4767-9727-6CFDD4B12935}">
  <ds:schemaRefs/>
</ds:datastoreItem>
</file>

<file path=customXml/itemProps7.xml><?xml version="1.0" encoding="utf-8"?>
<ds:datastoreItem xmlns:ds="http://schemas.openxmlformats.org/officeDocument/2006/customXml" ds:itemID="{61CD905C-BB12-492D-8634-EC149B9EBB10}">
  <ds:schemaRefs/>
</ds:datastoreItem>
</file>

<file path=customXml/itemProps8.xml><?xml version="1.0" encoding="utf-8"?>
<ds:datastoreItem xmlns:ds="http://schemas.openxmlformats.org/officeDocument/2006/customXml" ds:itemID="{B8A87497-1579-476C-A592-DD91F49EB25A}">
  <ds:schemaRefs/>
</ds:datastoreItem>
</file>

<file path=customXml/itemProps9.xml><?xml version="1.0" encoding="utf-8"?>
<ds:datastoreItem xmlns:ds="http://schemas.openxmlformats.org/officeDocument/2006/customXml" ds:itemID="{DA6919A7-8C97-422A-9359-E73FB0D61CAC}">
  <ds:schemaRefs/>
</ds:datastoreItem>
</file>

<file path=customXml/itemProps10.xml><?xml version="1.0" encoding="utf-8"?>
<ds:datastoreItem xmlns:ds="http://schemas.openxmlformats.org/officeDocument/2006/customXml" ds:itemID="{1203AF18-2ED9-4EE1-9897-8029EDA752FD}">
  <ds:schemaRefs/>
</ds:datastoreItem>
</file>

<file path=customXml/itemProps11.xml><?xml version="1.0" encoding="utf-8"?>
<ds:datastoreItem xmlns:ds="http://schemas.openxmlformats.org/officeDocument/2006/customXml" ds:itemID="{64D8F9D1-9378-4FDB-8D01-BCB002B55419}">
  <ds:schemaRefs/>
</ds:datastoreItem>
</file>

<file path=customXml/itemProps12.xml><?xml version="1.0" encoding="utf-8"?>
<ds:datastoreItem xmlns:ds="http://schemas.openxmlformats.org/officeDocument/2006/customXml" ds:itemID="{55AACE72-00C9-456D-A177-485420FB7ECA}">
  <ds:schemaRefs>
    <ds:schemaRef ds:uri="http://schemas.microsoft.com/DataMashup"/>
  </ds:schemaRefs>
</ds:datastoreItem>
</file>

<file path=customXml/itemProps13.xml><?xml version="1.0" encoding="utf-8"?>
<ds:datastoreItem xmlns:ds="http://schemas.openxmlformats.org/officeDocument/2006/customXml" ds:itemID="{22F04253-F975-494D-94DA-CC2B2FB40E61}">
  <ds:schemaRefs/>
</ds:datastoreItem>
</file>

<file path=customXml/itemProps14.xml><?xml version="1.0" encoding="utf-8"?>
<ds:datastoreItem xmlns:ds="http://schemas.openxmlformats.org/officeDocument/2006/customXml" ds:itemID="{1C4E954A-AD45-44C4-B1A3-6194B4D790F6}">
  <ds:schemaRefs/>
</ds:datastoreItem>
</file>

<file path=customXml/itemProps15.xml><?xml version="1.0" encoding="utf-8"?>
<ds:datastoreItem xmlns:ds="http://schemas.openxmlformats.org/officeDocument/2006/customXml" ds:itemID="{F72B178E-F818-4AB9-A88C-16CF3630F5E2}">
  <ds:schemaRefs/>
</ds:datastoreItem>
</file>

<file path=customXml/itemProps16.xml><?xml version="1.0" encoding="utf-8"?>
<ds:datastoreItem xmlns:ds="http://schemas.openxmlformats.org/officeDocument/2006/customXml" ds:itemID="{137A45CE-EDA0-4E8D-8509-4C3F975C870B}">
  <ds:schemaRefs/>
</ds:datastoreItem>
</file>

<file path=customXml/itemProps17.xml><?xml version="1.0" encoding="utf-8"?>
<ds:datastoreItem xmlns:ds="http://schemas.openxmlformats.org/officeDocument/2006/customXml" ds:itemID="{263A5871-629F-49FD-868F-093DD5A703C1}">
  <ds:schemaRefs/>
</ds:datastoreItem>
</file>

<file path=customXml/itemProps18.xml><?xml version="1.0" encoding="utf-8"?>
<ds:datastoreItem xmlns:ds="http://schemas.openxmlformats.org/officeDocument/2006/customXml" ds:itemID="{4887FD64-5F71-46E0-808C-B48727BEBE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Trend Analysis of Patient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Sharma</dc:creator>
  <cp:lastModifiedBy>Hitesh Sharma</cp:lastModifiedBy>
  <dcterms:created xsi:type="dcterms:W3CDTF">2026-06-07T11:33:56Z</dcterms:created>
  <dcterms:modified xsi:type="dcterms:W3CDTF">2026-06-08T16:30:08Z</dcterms:modified>
</cp:coreProperties>
</file>